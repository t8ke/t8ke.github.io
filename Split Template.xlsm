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faulkner\Desktop\"/>
    </mc:Choice>
  </mc:AlternateContent>
  <xr:revisionPtr revIDLastSave="0" documentId="13_ncr:1_{64B387DF-20B6-4E97-A3AA-F6525D319D8F}" xr6:coauthVersionLast="36" xr6:coauthVersionMax="36" xr10:uidLastSave="{00000000-0000-0000-0000-000000000000}"/>
  <bookViews>
    <workbookView xWindow="0" yWindow="0" windowWidth="28800" windowHeight="11085" xr2:uid="{17691716-8BE3-4DE6-8AF1-4C0586A4319F}"/>
  </bookViews>
  <sheets>
    <sheet name="Input" sheetId="1" r:id="rId1"/>
    <sheet name="Breakdown" sheetId="2" r:id="rId2"/>
    <sheet name="reference cells" sheetId="3" r:id="rId3"/>
  </sheets>
  <calcPr calcId="191029" refMode="R1C1"/>
  <pivotCaches>
    <pivotCache cacheId="25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4" i="1" l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G4" i="1"/>
  <c r="J4" i="1" s="1"/>
  <c r="G5" i="1"/>
  <c r="J5" i="1" s="1"/>
  <c r="G6" i="1"/>
  <c r="J6" i="1" s="1"/>
  <c r="G7" i="1"/>
  <c r="J7" i="1" s="1"/>
  <c r="G8" i="1"/>
  <c r="J8" i="1" s="1"/>
  <c r="G9" i="1"/>
  <c r="J9" i="1" s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</calcChain>
</file>

<file path=xl/sharedStrings.xml><?xml version="1.0" encoding="utf-8"?>
<sst xmlns="http://schemas.openxmlformats.org/spreadsheetml/2006/main" count="132" uniqueCount="100">
  <si>
    <t>Spirit Type</t>
  </si>
  <si>
    <t>Sizes</t>
  </si>
  <si>
    <t>Vintage</t>
  </si>
  <si>
    <t>User</t>
  </si>
  <si>
    <t>Sample Size</t>
  </si>
  <si>
    <t>Tax Rates</t>
  </si>
  <si>
    <t>Absinthe</t>
  </si>
  <si>
    <t>Aesc Islay Whisky</t>
  </si>
  <si>
    <t>Agave</t>
  </si>
  <si>
    <t>Anagma</t>
  </si>
  <si>
    <t>American Whiskey</t>
  </si>
  <si>
    <t>Anxst</t>
  </si>
  <si>
    <t>Armagnac</t>
  </si>
  <si>
    <t>BakersPC</t>
  </si>
  <si>
    <t>Blended Malt</t>
  </si>
  <si>
    <t>Brado "McSplits" Baggins</t>
  </si>
  <si>
    <t>Bourbon</t>
  </si>
  <si>
    <t>bvndwidth</t>
  </si>
  <si>
    <t>Brandy</t>
  </si>
  <si>
    <t>Chingonazo</t>
  </si>
  <si>
    <t>Calvados</t>
  </si>
  <si>
    <t>Dyllix</t>
  </si>
  <si>
    <t>Canadian Whiskey</t>
  </si>
  <si>
    <t>Ethanized</t>
  </si>
  <si>
    <t>Cognac</t>
  </si>
  <si>
    <t>gleaver</t>
  </si>
  <si>
    <t>Eau de Vie</t>
  </si>
  <si>
    <t>G-List</t>
  </si>
  <si>
    <t>Gin</t>
  </si>
  <si>
    <t>iDriveAvolvo</t>
  </si>
  <si>
    <t>Irish Whiskey</t>
  </si>
  <si>
    <t>Jmarrr12</t>
  </si>
  <si>
    <t>Japanese Whisky</t>
  </si>
  <si>
    <t>Jodgey4</t>
  </si>
  <si>
    <t>Light Whiskey</t>
  </si>
  <si>
    <t>Jonpacker</t>
  </si>
  <si>
    <t>Mezcal</t>
  </si>
  <si>
    <t>LCBthrowaway</t>
  </si>
  <si>
    <t>Other</t>
  </si>
  <si>
    <t>Madgraf</t>
  </si>
  <si>
    <t>Rum</t>
  </si>
  <si>
    <t>nsquare14</t>
  </si>
  <si>
    <t>Rye</t>
  </si>
  <si>
    <t>NTEagle</t>
  </si>
  <si>
    <t>Single Grain</t>
  </si>
  <si>
    <t>Pent0x</t>
  </si>
  <si>
    <t>Single Malt</t>
  </si>
  <si>
    <t>Philly Ceaser Three-Jag</t>
  </si>
  <si>
    <t>Tequila</t>
  </si>
  <si>
    <t>PvtPandaBear</t>
  </si>
  <si>
    <t>Vodka</t>
  </si>
  <si>
    <t>Pwnedapanda</t>
  </si>
  <si>
    <t>Raygun</t>
  </si>
  <si>
    <t>Reeper73</t>
  </si>
  <si>
    <t>RustyPipes</t>
  </si>
  <si>
    <t>SaintClive</t>
  </si>
  <si>
    <t>Scotch_Fanatic</t>
  </si>
  <si>
    <t>Sensei Kevlar Genr8</t>
  </si>
  <si>
    <t>T8ke</t>
  </si>
  <si>
    <t>Teejaydub</t>
  </si>
  <si>
    <t>The Auditor</t>
  </si>
  <si>
    <t>TwiddleDD</t>
  </si>
  <si>
    <t>VK</t>
  </si>
  <si>
    <t>VladtheImplier</t>
  </si>
  <si>
    <t>W12TN</t>
  </si>
  <si>
    <t>Whiskey_on_a_fence_post</t>
  </si>
  <si>
    <t>WhiskeyCurator</t>
  </si>
  <si>
    <t>Wild Oscar</t>
  </si>
  <si>
    <t>Bottle Split</t>
  </si>
  <si>
    <t>Bottle Description</t>
  </si>
  <si>
    <t>Size (ml)</t>
  </si>
  <si>
    <t>Bottle Price (USD)</t>
  </si>
  <si>
    <t>Tax Rate (%)</t>
  </si>
  <si>
    <t>Total Bottle Price (USD)</t>
  </si>
  <si>
    <t>Sample Size (ML)</t>
  </si>
  <si>
    <t>Username</t>
  </si>
  <si>
    <t>Total Cost of sample (USD)</t>
  </si>
  <si>
    <t>Cost And Shipping</t>
  </si>
  <si>
    <t>Number of samples</t>
  </si>
  <si>
    <t>Total Cost of samples Shipped (USD)</t>
  </si>
  <si>
    <t>Paid</t>
  </si>
  <si>
    <t>Shipped</t>
  </si>
  <si>
    <t>Splitters Remaining Share of Bottle</t>
  </si>
  <si>
    <t>Bottle</t>
  </si>
  <si>
    <t>Split Volume (ml)</t>
  </si>
  <si>
    <t>Remaining Volume (ml)</t>
  </si>
  <si>
    <t>Cost Absorbed by Splitter (USD)</t>
  </si>
  <si>
    <t>Sum of Total Cost of sample (USD)</t>
  </si>
  <si>
    <t>Sum of Sample Size (ML)</t>
  </si>
  <si>
    <t>Count of Sample Size (ML)</t>
  </si>
  <si>
    <t>Average of Size (ml)</t>
  </si>
  <si>
    <t>Average of Total Bottle Price (USD)</t>
  </si>
  <si>
    <t>t8ke</t>
  </si>
  <si>
    <t>Summary Table</t>
  </si>
  <si>
    <t>Volume calculations</t>
  </si>
  <si>
    <t>purhcase tracker</t>
  </si>
  <si>
    <t>mezcal</t>
  </si>
  <si>
    <t>Tobala en barro</t>
  </si>
  <si>
    <t>Bozal</t>
  </si>
  <si>
    <t>Clande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</si>
</sst>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2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164" fontId="1" fillId="2" borderId="1" xfId="1" applyNumberFormat="1" applyProtection="1">
      <protection hidden="1"/>
    </xf>
    <xf numFmtId="0" fontId="0" fillId="0" borderId="0" xfId="0" pivotButton="1"/>
    <xf numFmtId="0" fontId="0" fillId="0" borderId="0" xfId="0" applyNumberFormat="1"/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Calculation" xfId="1" builtinId="22"/>
    <cellStyle name="Normal" xfId="0" builtinId="0"/>
  </cellStyles>
  <dxfs count="15">
    <dxf>
      <numFmt numFmtId="14" formatCode="0.00%"/>
    </dxf>
    <dxf>
      <numFmt numFmtId="14" formatCode="0.00%"/>
    </dxf>
    <dxf>
      <numFmt numFmtId="0" formatCode="General"/>
    </dxf>
    <dxf>
      <numFmt numFmtId="164" formatCode="&quot;$&quot;#,##0.00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164" formatCode="&quot;$&quot;#,##0.00"/>
      <protection locked="1" hidden="1"/>
    </dxf>
    <dxf>
      <numFmt numFmtId="164" formatCode="&quot;$&quot;#,##0.00"/>
      <protection locked="1" hidden="1"/>
    </dxf>
    <dxf>
      <numFmt numFmtId="14" formatCode="0.00%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dy Faulkner" refreshedDate="43620.765259837965" createdVersion="6" refreshedVersion="6" minRefreshableVersion="3" recordCount="97" xr:uid="{98D16885-5BFB-4ABC-81CA-F9EFDCAA4394}">
  <cacheSource type="worksheet">
    <worksheetSource name="Table13"/>
  </cacheSource>
  <cacheFields count="10">
    <cacheField name="Spirit Type" numFmtId="0">
      <sharedItems containsBlank="1"/>
    </cacheField>
    <cacheField name="Vintage" numFmtId="0">
      <sharedItems containsString="0" containsBlank="1" containsNumber="1" containsInteger="1" minValue="2017" maxValue="2018"/>
    </cacheField>
    <cacheField name="Bottle Description" numFmtId="0">
      <sharedItems containsBlank="1" count="6">
        <s v="Tobala en barro"/>
        <s v="Bozal"/>
        <s v="Clande"/>
        <m/>
        <s v="Bozal Castilla" u="1"/>
        <s v="Mezcal Vago Tobala en Barro" u="1"/>
      </sharedItems>
    </cacheField>
    <cacheField name="Size (ml)" numFmtId="0">
      <sharedItems containsString="0" containsBlank="1" containsNumber="1" containsInteger="1" minValue="750" maxValue="750"/>
    </cacheField>
    <cacheField name="Bottle Price (USD)" numFmtId="164">
      <sharedItems containsString="0" containsBlank="1" containsNumber="1" containsInteger="1" minValue="86" maxValue="140"/>
    </cacheField>
    <cacheField name="Tax Rate (%)" numFmtId="10">
      <sharedItems containsString="0" containsBlank="1" containsNumber="1" minValue="0.06" maxValue="6.25E-2"/>
    </cacheField>
    <cacheField name="Total Bottle Price (USD)" numFmtId="164">
      <sharedItems containsMixedTypes="1" containsNumber="1" minValue="91.375" maxValue="148.4"/>
    </cacheField>
    <cacheField name="Sample Size (ML)" numFmtId="0">
      <sharedItems containsString="0" containsBlank="1" containsNumber="1" containsInteger="1" minValue="60" maxValue="120"/>
    </cacheField>
    <cacheField name="Username" numFmtId="0">
      <sharedItems containsBlank="1" count="5">
        <s v="t8ke"/>
        <s v="Chingonazo"/>
        <s v="Wild Oscar"/>
        <m/>
        <s v="Brado &quot;McSplits&quot; Baggins" u="1"/>
      </sharedItems>
    </cacheField>
    <cacheField name="Total Cost of sample (USD)" numFmtId="164">
      <sharedItems containsMixedTypes="1" containsNumber="1" minValue="8.31" maxValue="25.7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s v="mezcal"/>
    <n v="2017"/>
    <x v="0"/>
    <n v="750"/>
    <n v="140"/>
    <n v="0.06"/>
    <n v="148.4"/>
    <n v="120"/>
    <x v="0"/>
    <n v="25.744"/>
  </r>
  <r>
    <s v="mezcal"/>
    <n v="2018"/>
    <x v="1"/>
    <n v="750"/>
    <n v="106"/>
    <n v="0.06"/>
    <n v="112.36"/>
    <n v="60"/>
    <x v="0"/>
    <n v="9.9887999999999995"/>
  </r>
  <r>
    <s v="mezcal"/>
    <n v="2017"/>
    <x v="1"/>
    <n v="750"/>
    <n v="106"/>
    <n v="0.06"/>
    <n v="112.36"/>
    <n v="120"/>
    <x v="0"/>
    <n v="19.977599999999999"/>
  </r>
  <r>
    <s v="mezcal"/>
    <n v="2017"/>
    <x v="1"/>
    <n v="750"/>
    <n v="106"/>
    <n v="0.06"/>
    <n v="112.36"/>
    <n v="60"/>
    <x v="1"/>
    <n v="9.9887999999999995"/>
  </r>
  <r>
    <s v="mezcal"/>
    <n v="2017"/>
    <x v="1"/>
    <n v="750"/>
    <n v="106"/>
    <n v="0.06"/>
    <n v="112.36"/>
    <n v="120"/>
    <x v="2"/>
    <n v="19.977599999999999"/>
  </r>
  <r>
    <s v="mezcal"/>
    <n v="2018"/>
    <x v="2"/>
    <n v="750"/>
    <n v="86"/>
    <n v="6.25E-2"/>
    <n v="91.375"/>
    <n v="60"/>
    <x v="1"/>
    <n v="8.31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  <r>
    <m/>
    <m/>
    <x v="3"/>
    <m/>
    <m/>
    <m/>
    <s v=""/>
    <m/>
    <x v="3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34AF3-2D97-4EA8-A015-06DDDF2D813E}" name="PivotTable4" cacheId="25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Summary Table">
  <location ref="J1:L9" firstHeaderRow="0" firstDataRow="1" firstDataCol="1"/>
  <pivotFields count="10">
    <pivotField showAll="0"/>
    <pivotField showAll="0"/>
    <pivotField axis="axisRow" showAll="0" measureFilter="1">
      <items count="7">
        <item x="0"/>
        <item x="3"/>
        <item m="1" x="5"/>
        <item m="1" x="4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6">
        <item m="1" x="4"/>
        <item x="3"/>
        <item x="0"/>
        <item x="1"/>
        <item x="2"/>
        <item t="default"/>
      </items>
    </pivotField>
    <pivotField dataField="1" showAll="0"/>
  </pivotFields>
  <rowFields count="2">
    <field x="8"/>
    <field x="2"/>
  </rowFields>
  <rowItems count="8">
    <i>
      <x v="2"/>
    </i>
    <i r="1">
      <x/>
    </i>
    <i r="1">
      <x v="4"/>
    </i>
    <i>
      <x v="3"/>
    </i>
    <i r="1">
      <x v="4"/>
    </i>
    <i r="1">
      <x v="5"/>
    </i>
    <i>
      <x v="4"/>
    </i>
    <i r="1">
      <x v="4"/>
    </i>
  </rowItems>
  <colFields count="1">
    <field x="-2"/>
  </colFields>
  <colItems count="2">
    <i>
      <x/>
    </i>
    <i i="1">
      <x v="1"/>
    </i>
  </colItems>
  <dataFields count="2">
    <dataField name="Sum of Total Cost of sample (USD)" fld="9" baseField="8" baseItem="0" numFmtId="164"/>
    <dataField name="Sum of Sample Size (ML)" fld="7" baseField="0" baseItem="0"/>
  </dataFields>
  <formats count="2">
    <format dxfId="3">
      <pivotArea outline="0" collapsedLevelsAreSubtotals="1" fieldPosition="0"/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AF179-5C3D-4E30-9C8A-A03D3E6BEC17}" name="PivotTable2" cacheId="25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Volume calculations">
  <location ref="E1:H4" firstHeaderRow="0" firstDataRow="1" firstDataCol="1"/>
  <pivotFields count="10">
    <pivotField showAll="0"/>
    <pivotField showAll="0"/>
    <pivotField axis="axisRow" showAll="0" measureFilter="1">
      <items count="7">
        <item x="0"/>
        <item x="3"/>
        <item m="1" x="5"/>
        <item m="1" x="4"/>
        <item x="1"/>
        <item x="2"/>
        <item t="default"/>
      </items>
    </pivotField>
    <pivotField dataField="1" showAll="0"/>
    <pivotField showAll="0"/>
    <pivotField showAll="0"/>
    <pivotField dataField="1" showAll="0"/>
    <pivotField dataField="1" showAll="0"/>
    <pivotField showAll="0" measureFilter="1"/>
    <pivotField showAll="0"/>
  </pivotFields>
  <rowFields count="1">
    <field x="2"/>
  </rowFields>
  <rowItems count="3">
    <i>
      <x/>
    </i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mple Size (ML)" fld="7" baseField="0" baseItem="0"/>
    <dataField name="Average of Size (ml)" fld="3" subtotal="average" baseField="8" baseItem="0"/>
    <dataField name="Average of Total Bottle Price (USD)" fld="6" subtotal="average" baseField="8" baseItem="1"/>
  </dataFields>
  <pivotTableStyleInfo name="PivotStyleLight16" showRowHeaders="1" showColHeaders="1" showRowStripes="0" showColStripes="0" showLastColumn="1"/>
  <filters count="2">
    <filter fld="8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  <filter fld="2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5B86DF-CB51-453D-9FA5-19869D42A536}" name="PivotTable1" cacheId="25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purhcase tracker">
  <location ref="A1:C4" firstHeaderRow="0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 measureFilter="1">
      <items count="6">
        <item m="1" x="4"/>
        <item x="3"/>
        <item x="0"/>
        <item x="1"/>
        <item x="2"/>
        <item t="default"/>
      </items>
    </pivotField>
    <pivotField dataField="1" showAll="0"/>
  </pivotFields>
  <rowFields count="1">
    <field x="8"/>
  </rowFields>
  <rowItems count="3">
    <i>
      <x v="2"/>
    </i>
    <i>
      <x v="3"/>
    </i>
    <i>
      <x v="4"/>
    </i>
  </rowItems>
  <colFields count="1">
    <field x="-2"/>
  </colFields>
  <colItems count="2">
    <i>
      <x/>
    </i>
    <i i="1">
      <x v="1"/>
    </i>
  </colItems>
  <dataFields count="2">
    <dataField name="Sum of Total Cost of sample (USD)" fld="9" baseField="8" baseItem="0"/>
    <dataField name="Count of Sample Size (ML)" fld="7" subtotal="count" baseField="8" baseItem="1"/>
  </dataFields>
  <pivotTableStyleInfo name="PivotStyleLight16" showRowHeaders="1" showColHeaders="1" showRowStripes="0" showColStripes="0" showLastColumn="1"/>
  <filters count="1">
    <filter fld="8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B625BB2-F100-49DE-8B10-36A00E0C9164}" name="Table13" displayName="Table13" ref="A3:J100" totalsRowShown="0">
  <autoFilter ref="A3:J100" xr:uid="{8969055B-434E-4811-82A2-407688444FB4}"/>
  <tableColumns count="10">
    <tableColumn id="1" xr3:uid="{64C3F979-95F6-40A5-BE8B-97755C847795}" name="Spirit Type"/>
    <tableColumn id="2" xr3:uid="{1DB2BF02-444D-481F-8992-E4E5AC94232C}" name="Vintage"/>
    <tableColumn id="3" xr3:uid="{AB8E2D96-B462-49E3-9105-3A5D508976C7}" name="Bottle Description"/>
    <tableColumn id="4" xr3:uid="{4BFBF3FC-9BC7-477F-BF8B-F74B3EBC0937}" name="Size (ml)"/>
    <tableColumn id="5" xr3:uid="{FAA74A82-DDAC-4671-B67F-B255D504FFEF}" name="Bottle Price (USD)" dataDxfId="14"/>
    <tableColumn id="6" xr3:uid="{6C2298E8-36F0-45AE-8D37-BDC461F1F099}" name="Tax Rate (%)" dataDxfId="13"/>
    <tableColumn id="7" xr3:uid="{B9070E37-4FA7-4FA2-AE55-8BFD063B437D}" name="Total Bottle Price (USD)" dataDxfId="12" dataCellStyle="Calculation">
      <calculatedColumnFormula>IF(Table13[[#This Row],[Bottle Price (USD)]]="","",(Table13[[#This Row],[Bottle Price (USD)]]*Table13[[#This Row],[Tax Rate (%)]])+Table13[[#This Row],[Bottle Price (USD)]])</calculatedColumnFormula>
    </tableColumn>
    <tableColumn id="8" xr3:uid="{A3D232CA-C29C-4C4D-8A7C-3FA651952001}" name="Sample Size (ML)"/>
    <tableColumn id="9" xr3:uid="{A692A91E-E52C-4AD0-B486-C02496E319EB}" name="Username"/>
    <tableColumn id="10" xr3:uid="{0968AC64-FF90-41C6-A51F-86D72D8677FB}" name="Total Cost of sample (USD)" dataDxfId="11" dataCellStyle="Calculation">
      <calculatedColumnFormula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D1FCA8-AA67-458A-9176-4E16363829A8}" name="Table14" displayName="Table14" ref="L3:P53" totalsRowShown="0">
  <autoFilter ref="L3:P53" xr:uid="{C23A0000-021F-4437-B1F0-8C954FDED12E}"/>
  <tableColumns count="5">
    <tableColumn id="1" xr3:uid="{A136980E-A5BF-48D9-814D-D8C1E6AB7810}" name="Username" dataDxfId="10">
      <calculatedColumnFormula>IF(Breakdown!A2="","",Breakdown!A2)</calculatedColumnFormula>
    </tableColumn>
    <tableColumn id="2" xr3:uid="{A9574747-B981-41D4-860C-6CB79544D084}" name="Number of samples" dataDxfId="9">
      <calculatedColumnFormula>IF(Breakdown!A2="","",Breakdown!C2)</calculatedColumnFormula>
    </tableColumn>
    <tableColumn id="3" xr3:uid="{F5961D31-9017-4AEF-9C74-E36A3CFE00BC}" name="Total Cost of samples Shipped (USD)" dataDxfId="8">
      <calculatedColumnFormula>IF(Breakdown!A2="","",Breakdown!B2+9)</calculatedColumnFormula>
    </tableColumn>
    <tableColumn id="4" xr3:uid="{00066B00-EEB9-4D72-8BEA-13108A56BE43}" name="Paid"/>
    <tableColumn id="5" xr3:uid="{0D7DC0D8-95A3-42A6-907A-2ED68FEC5F38}" name="Shipp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88FC2FC-E48C-4A7D-9A91-5113D12977C7}" name="Table15" displayName="Table15" ref="R3:U19" totalsRowShown="0">
  <autoFilter ref="R3:U19" xr:uid="{572E5535-2229-403E-887E-94436797CA3B}"/>
  <tableColumns count="4">
    <tableColumn id="1" xr3:uid="{334DAEBA-639E-4B32-9391-B140B2682744}" name="Bottle" dataDxfId="7">
      <calculatedColumnFormula>IF(Breakdown!E2="","",Breakdown!E2)</calculatedColumnFormula>
    </tableColumn>
    <tableColumn id="2" xr3:uid="{E790CF4A-7A5B-4D99-85E2-CA192368E13B}" name="Split Volume (ml)" dataDxfId="6">
      <calculatedColumnFormula>IF(Breakdown!E2="","",Breakdown!F2)</calculatedColumnFormula>
    </tableColumn>
    <tableColumn id="3" xr3:uid="{083A281D-A144-4D88-B6DD-9BB19F6532C5}" name="Remaining Volume (ml)" dataDxfId="5">
      <calculatedColumnFormula>IF(Breakdown!E2="","",Breakdown!G2-Breakdown!F2)</calculatedColumnFormula>
    </tableColumn>
    <tableColumn id="4" xr3:uid="{5B51027A-5B22-4CD1-BD8B-91C9158F6248}" name="Cost Absorbed by Splitter (USD)" dataDxfId="4">
      <calculatedColumnFormula>IF(Breakdown!E2="","",(Breakdown!H2/Breakdown!G2)*(Breakdown!G2-Breakdown!F2))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C5D2FD1-B516-474F-98C5-62F8B5AF5F7D}" name="Table7" displayName="Table7" ref="A1:A24" totalsRowShown="0">
  <autoFilter ref="A1:A24" xr:uid="{27FB1A89-9EE4-44C7-8B6A-E907C0EF67E7}"/>
  <tableColumns count="1">
    <tableColumn id="1" xr3:uid="{CAD3FFDE-2B67-46D1-9CC2-FE19A812FCE0}" name="Spirit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126E84-DFAB-4F61-9C53-B1A332354D46}" name="Table8" displayName="Table8" ref="C1:C9" totalsRowShown="0">
  <autoFilter ref="C1:C9" xr:uid="{BE9C3620-B70A-4DD4-AEEF-890435ED8E09}"/>
  <sortState ref="C2:C9">
    <sortCondition ref="C1:C9"/>
  </sortState>
  <tableColumns count="1">
    <tableColumn id="1" xr3:uid="{64F44022-EDD7-42AF-911F-A1DB0BEC4174}" name="Siz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38C7D4-9FFB-4C2D-BB10-413C1BF32FC4}" name="Table9" displayName="Table9" ref="E1:E57" totalsRowShown="0">
  <autoFilter ref="E1:E57" xr:uid="{3353933F-4E14-4387-B286-4A0B7A877064}"/>
  <tableColumns count="1">
    <tableColumn id="1" xr3:uid="{9C156A1D-BFF3-4E23-9FBC-E6E7ECD45B03}" name="Vintag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89A4CB-04C0-4CD1-8E8F-F9841CF4334C}" name="Table10" displayName="Table10" ref="G1:G40" totalsRowShown="0">
  <autoFilter ref="G1:G40" xr:uid="{6E17998A-E209-49C7-97C8-254637AAD2A1}"/>
  <tableColumns count="1">
    <tableColumn id="1" xr3:uid="{F1236975-6332-47DC-B9F4-C8DE1F3DBD12}" name="Us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D37B26-E830-42E5-83CD-69F9EF8BE88F}" name="Table11" displayName="Table11" ref="I1:I6" totalsRowShown="0">
  <autoFilter ref="I1:I6" xr:uid="{888FA7A6-426C-448E-87D7-B96316B1B7A0}"/>
  <tableColumns count="1">
    <tableColumn id="1" xr3:uid="{18B76AD2-6055-439A-A2DA-90627F522434}" name="Sample Siz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1DA448C-66E4-474B-8618-E8A944E0A702}" name="Table12" displayName="Table12" ref="K1:K118" totalsRowShown="0" headerRowDxfId="1">
  <autoFilter ref="K1:K118" xr:uid="{03AF7E48-3637-42EA-8BCC-2D00F59F1F5C}"/>
  <sortState ref="K2:K118">
    <sortCondition ref="K1:K118"/>
  </sortState>
  <tableColumns count="1">
    <tableColumn id="1" xr3:uid="{167008F2-ADD4-4155-B377-2AB59874637C}" name="Tax Ra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D470-30FD-49C8-9296-E768E30C2ED7}">
  <sheetPr codeName="Sheet1"/>
  <dimension ref="A1:U100"/>
  <sheetViews>
    <sheetView tabSelected="1" zoomScale="85" zoomScaleNormal="85" workbookViewId="0">
      <selection activeCell="A10" sqref="A10"/>
    </sheetView>
  </sheetViews>
  <sheetFormatPr defaultRowHeight="15" x14ac:dyDescent="0.25"/>
  <cols>
    <col min="1" max="1" width="18.42578125" customWidth="1"/>
    <col min="2" max="2" width="11.140625" customWidth="1"/>
    <col min="3" max="3" width="34.85546875" customWidth="1"/>
    <col min="4" max="4" width="11.140625" customWidth="1"/>
    <col min="5" max="5" width="19.28515625" customWidth="1"/>
    <col min="6" max="6" width="15.42578125" customWidth="1"/>
    <col min="7" max="7" width="23.85546875" customWidth="1"/>
    <col min="8" max="8" width="18.5703125" customWidth="1"/>
    <col min="9" max="9" width="24.85546875" customWidth="1"/>
    <col min="10" max="10" width="26.85546875" customWidth="1"/>
    <col min="12" max="12" width="26.85546875" customWidth="1"/>
    <col min="13" max="13" width="20.42578125" customWidth="1"/>
    <col min="14" max="14" width="34.85546875" customWidth="1"/>
    <col min="15" max="16" width="21.140625" customWidth="1"/>
    <col min="18" max="18" width="29.7109375" customWidth="1"/>
    <col min="19" max="19" width="19.5703125" customWidth="1"/>
    <col min="20" max="20" width="26.140625" customWidth="1"/>
    <col min="21" max="21" width="32.85546875" customWidth="1"/>
  </cols>
  <sheetData>
    <row r="1" spans="1:21" x14ac:dyDescent="0.25">
      <c r="A1" s="7" t="s">
        <v>68</v>
      </c>
      <c r="B1" s="7"/>
      <c r="C1" s="7"/>
      <c r="D1" s="7"/>
      <c r="E1" s="7"/>
      <c r="F1" s="7"/>
      <c r="G1" s="7"/>
      <c r="H1" s="7"/>
      <c r="I1" s="7"/>
      <c r="J1" s="7"/>
      <c r="L1" s="7" t="s">
        <v>77</v>
      </c>
      <c r="M1" s="7"/>
      <c r="N1" s="7"/>
      <c r="O1" s="7"/>
      <c r="P1" s="7"/>
      <c r="R1" s="7" t="s">
        <v>82</v>
      </c>
      <c r="S1" s="7"/>
      <c r="T1" s="7"/>
      <c r="U1" s="7"/>
    </row>
    <row r="2" spans="1:21" x14ac:dyDescent="0.25">
      <c r="A2" s="7"/>
      <c r="B2" s="7"/>
      <c r="C2" s="7"/>
      <c r="D2" s="7"/>
      <c r="E2" s="7"/>
      <c r="F2" s="7"/>
      <c r="G2" s="7"/>
      <c r="H2" s="7"/>
      <c r="I2" s="7"/>
      <c r="J2" s="7"/>
      <c r="L2" s="7"/>
      <c r="M2" s="7"/>
      <c r="N2" s="7"/>
      <c r="O2" s="7"/>
      <c r="P2" s="7"/>
      <c r="R2" s="7"/>
      <c r="S2" s="7"/>
      <c r="T2" s="7"/>
      <c r="U2" s="7"/>
    </row>
    <row r="3" spans="1:21" x14ac:dyDescent="0.25">
      <c r="A3" t="s">
        <v>0</v>
      </c>
      <c r="B3" t="s">
        <v>2</v>
      </c>
      <c r="C3" t="s">
        <v>69</v>
      </c>
      <c r="D3" t="s">
        <v>70</v>
      </c>
      <c r="E3" t="s">
        <v>71</v>
      </c>
      <c r="F3" s="1" t="s">
        <v>72</v>
      </c>
      <c r="G3" t="s">
        <v>73</v>
      </c>
      <c r="H3" t="s">
        <v>74</v>
      </c>
      <c r="I3" t="s">
        <v>75</v>
      </c>
      <c r="J3" t="s">
        <v>76</v>
      </c>
      <c r="L3" s="2" t="s">
        <v>75</v>
      </c>
      <c r="M3" s="2" t="s">
        <v>78</v>
      </c>
      <c r="N3" t="s">
        <v>79</v>
      </c>
      <c r="O3" t="s">
        <v>80</v>
      </c>
      <c r="P3" t="s">
        <v>81</v>
      </c>
      <c r="R3" t="s">
        <v>83</v>
      </c>
      <c r="S3" t="s">
        <v>84</v>
      </c>
      <c r="T3" t="s">
        <v>85</v>
      </c>
      <c r="U3" t="s">
        <v>86</v>
      </c>
    </row>
    <row r="4" spans="1:21" x14ac:dyDescent="0.25">
      <c r="A4" t="s">
        <v>96</v>
      </c>
      <c r="B4">
        <v>2017</v>
      </c>
      <c r="C4" t="s">
        <v>97</v>
      </c>
      <c r="D4">
        <v>750</v>
      </c>
      <c r="E4" s="3">
        <v>140</v>
      </c>
      <c r="F4" s="1">
        <v>0.06</v>
      </c>
      <c r="G4" s="4">
        <f>IF(Table13[[#This Row],[Bottle Price (USD)]]="","",(Table13[[#This Row],[Bottle Price (USD)]]*Table13[[#This Row],[Tax Rate (%)]])+Table13[[#This Row],[Bottle Price (USD)]])</f>
        <v>148.4</v>
      </c>
      <c r="H4">
        <v>120</v>
      </c>
      <c r="I4" t="s">
        <v>92</v>
      </c>
      <c r="J4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25.744</v>
      </c>
      <c r="L4" t="str">
        <f>IF(Breakdown!A2="","",Breakdown!A2)</f>
        <v>t8ke</v>
      </c>
      <c r="M4">
        <f>IF(Breakdown!A2="","",Breakdown!C2)</f>
        <v>3</v>
      </c>
      <c r="N4" s="3">
        <f>IF(Breakdown!A2="","",Breakdown!B2+9)</f>
        <v>64.710399999999993</v>
      </c>
      <c r="R4" t="str">
        <f>IF(Breakdown!E2="","",Breakdown!E2)</f>
        <v>Tobala en barro</v>
      </c>
      <c r="S4">
        <f>IF(Breakdown!E2="","",Breakdown!F2)</f>
        <v>120</v>
      </c>
      <c r="T4">
        <f>IF(Breakdown!E2="","",Breakdown!G2-Breakdown!F2)</f>
        <v>630</v>
      </c>
      <c r="U4" s="3">
        <f>IF(Breakdown!E2="","",(Breakdown!H2/Breakdown!G2)*(Breakdown!G2-Breakdown!F2))</f>
        <v>124.65599999999999</v>
      </c>
    </row>
    <row r="5" spans="1:21" x14ac:dyDescent="0.25">
      <c r="A5" t="s">
        <v>36</v>
      </c>
      <c r="B5">
        <v>2018</v>
      </c>
      <c r="C5" t="s">
        <v>98</v>
      </c>
      <c r="D5">
        <v>750</v>
      </c>
      <c r="E5" s="3">
        <v>106</v>
      </c>
      <c r="F5" s="1">
        <v>0.06</v>
      </c>
      <c r="G5" s="4">
        <f>IF(Table13[[#This Row],[Bottle Price (USD)]]="","",(Table13[[#This Row],[Bottle Price (USD)]]*Table13[[#This Row],[Tax Rate (%)]])+Table13[[#This Row],[Bottle Price (USD)]])</f>
        <v>112.36</v>
      </c>
      <c r="H5">
        <v>60</v>
      </c>
      <c r="I5" t="s">
        <v>92</v>
      </c>
      <c r="J5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9.9887999999999995</v>
      </c>
      <c r="L5" t="str">
        <f>IF(Breakdown!A3="","",Breakdown!A3)</f>
        <v>Chingonazo</v>
      </c>
      <c r="M5">
        <f>IF(Breakdown!A3="","",Breakdown!C3)</f>
        <v>2</v>
      </c>
      <c r="N5" s="3">
        <f>IF(Breakdown!A3="","",Breakdown!B3+9)</f>
        <v>27.2988</v>
      </c>
      <c r="R5" t="str">
        <f>IF(Breakdown!E3="","",Breakdown!E3)</f>
        <v>Bozal</v>
      </c>
      <c r="S5">
        <f>IF(Breakdown!E3="","",Breakdown!F3)</f>
        <v>360</v>
      </c>
      <c r="T5">
        <f>IF(Breakdown!E3="","",Breakdown!G3-Breakdown!F3)</f>
        <v>390</v>
      </c>
      <c r="U5" s="3">
        <f>IF(Breakdown!E3="","",(Breakdown!H3/Breakdown!G3)*(Breakdown!G3-Breakdown!F3))</f>
        <v>58.427199999999999</v>
      </c>
    </row>
    <row r="6" spans="1:21" x14ac:dyDescent="0.25">
      <c r="A6" t="s">
        <v>36</v>
      </c>
      <c r="B6">
        <v>2017</v>
      </c>
      <c r="C6" t="s">
        <v>98</v>
      </c>
      <c r="D6">
        <v>750</v>
      </c>
      <c r="E6" s="3">
        <v>106</v>
      </c>
      <c r="F6" s="1">
        <v>0.06</v>
      </c>
      <c r="G6" s="4">
        <f>IF(Table13[[#This Row],[Bottle Price (USD)]]="","",(Table13[[#This Row],[Bottle Price (USD)]]*Table13[[#This Row],[Tax Rate (%)]])+Table13[[#This Row],[Bottle Price (USD)]])</f>
        <v>112.36</v>
      </c>
      <c r="H6">
        <v>120</v>
      </c>
      <c r="I6" t="s">
        <v>92</v>
      </c>
      <c r="J6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19.977599999999999</v>
      </c>
      <c r="L6" t="str">
        <f>IF(Breakdown!A4="","",Breakdown!A4)</f>
        <v>Wild Oscar</v>
      </c>
      <c r="M6">
        <f>IF(Breakdown!A4="","",Breakdown!C4)</f>
        <v>1</v>
      </c>
      <c r="N6" s="3">
        <f>IF(Breakdown!A4="","",Breakdown!B4+9)</f>
        <v>28.977599999999999</v>
      </c>
      <c r="R6" t="str">
        <f>IF(Breakdown!E4="","",Breakdown!E4)</f>
        <v>Clande</v>
      </c>
      <c r="S6">
        <f>IF(Breakdown!E4="","",Breakdown!F4)</f>
        <v>60</v>
      </c>
      <c r="T6">
        <f>IF(Breakdown!E4="","",Breakdown!G4-Breakdown!F4)</f>
        <v>690</v>
      </c>
      <c r="U6" s="3">
        <f>IF(Breakdown!E4="","",(Breakdown!H4/Breakdown!G4)*(Breakdown!G4-Breakdown!F4))</f>
        <v>84.064999999999998</v>
      </c>
    </row>
    <row r="7" spans="1:21" x14ac:dyDescent="0.25">
      <c r="A7" t="s">
        <v>36</v>
      </c>
      <c r="B7">
        <v>2017</v>
      </c>
      <c r="C7" t="s">
        <v>98</v>
      </c>
      <c r="D7">
        <v>750</v>
      </c>
      <c r="E7" s="3">
        <v>106</v>
      </c>
      <c r="F7" s="1">
        <v>0.06</v>
      </c>
      <c r="G7" s="4">
        <f>IF(Table13[[#This Row],[Bottle Price (USD)]]="","",(Table13[[#This Row],[Bottle Price (USD)]]*Table13[[#This Row],[Tax Rate (%)]])+Table13[[#This Row],[Bottle Price (USD)]])</f>
        <v>112.36</v>
      </c>
      <c r="H7">
        <v>60</v>
      </c>
      <c r="I7" t="s">
        <v>19</v>
      </c>
      <c r="J7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9.9887999999999995</v>
      </c>
      <c r="L7" t="str">
        <f>IF(Breakdown!A5="","",Breakdown!A5)</f>
        <v/>
      </c>
      <c r="M7" t="str">
        <f>IF(Breakdown!A5="","",Breakdown!C5)</f>
        <v/>
      </c>
      <c r="N7" s="3" t="str">
        <f>IF(Breakdown!A5="","",Breakdown!B5+9)</f>
        <v/>
      </c>
      <c r="R7" t="str">
        <f>IF(Breakdown!E5="","",Breakdown!E5)</f>
        <v/>
      </c>
      <c r="S7" t="str">
        <f>IF(Breakdown!E5="","",Breakdown!F5)</f>
        <v/>
      </c>
      <c r="T7" t="str">
        <f>IF(Breakdown!E5="","",Breakdown!G5-Breakdown!F5)</f>
        <v/>
      </c>
      <c r="U7" s="3" t="str">
        <f>IF(Breakdown!E5="","",(Breakdown!H5/Breakdown!G5)*(Breakdown!G5-Breakdown!F5))</f>
        <v/>
      </c>
    </row>
    <row r="8" spans="1:21" x14ac:dyDescent="0.25">
      <c r="A8" t="s">
        <v>36</v>
      </c>
      <c r="B8">
        <v>2017</v>
      </c>
      <c r="C8" t="s">
        <v>98</v>
      </c>
      <c r="D8">
        <v>750</v>
      </c>
      <c r="E8" s="3">
        <v>106</v>
      </c>
      <c r="F8" s="1">
        <v>0.06</v>
      </c>
      <c r="G8" s="4">
        <f>IF(Table13[[#This Row],[Bottle Price (USD)]]="","",(Table13[[#This Row],[Bottle Price (USD)]]*Table13[[#This Row],[Tax Rate (%)]])+Table13[[#This Row],[Bottle Price (USD)]])</f>
        <v>112.36</v>
      </c>
      <c r="H8">
        <v>120</v>
      </c>
      <c r="I8" t="s">
        <v>67</v>
      </c>
      <c r="J8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19.977599999999999</v>
      </c>
      <c r="L8" t="str">
        <f>IF(Breakdown!A6="","",Breakdown!A6)</f>
        <v/>
      </c>
      <c r="M8" t="str">
        <f>IF(Breakdown!A6="","",Breakdown!C6)</f>
        <v/>
      </c>
      <c r="N8" s="3" t="str">
        <f>IF(Breakdown!A6="","",Breakdown!B6+9)</f>
        <v/>
      </c>
      <c r="R8" t="str">
        <f>IF(Breakdown!E6="","",Breakdown!E6)</f>
        <v/>
      </c>
      <c r="S8" t="str">
        <f>IF(Breakdown!E6="","",Breakdown!F6)</f>
        <v/>
      </c>
      <c r="T8" t="str">
        <f>IF(Breakdown!E6="","",Breakdown!G6-Breakdown!F6)</f>
        <v/>
      </c>
      <c r="U8" s="3" t="str">
        <f>IF(Breakdown!E6="","",(Breakdown!H6/Breakdown!G6)*(Breakdown!G6-Breakdown!F6))</f>
        <v/>
      </c>
    </row>
    <row r="9" spans="1:21" x14ac:dyDescent="0.25">
      <c r="A9" t="s">
        <v>96</v>
      </c>
      <c r="B9">
        <v>2018</v>
      </c>
      <c r="C9" t="s">
        <v>99</v>
      </c>
      <c r="D9">
        <v>750</v>
      </c>
      <c r="E9" s="3">
        <v>86</v>
      </c>
      <c r="F9" s="1">
        <v>6.25E-2</v>
      </c>
      <c r="G9" s="4">
        <f>IF(Table13[[#This Row],[Bottle Price (USD)]]="","",(Table13[[#This Row],[Bottle Price (USD)]]*Table13[[#This Row],[Tax Rate (%)]])+Table13[[#This Row],[Bottle Price (USD)]])</f>
        <v>91.375</v>
      </c>
      <c r="H9">
        <v>60</v>
      </c>
      <c r="I9" t="s">
        <v>19</v>
      </c>
      <c r="J9" s="4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>8.31</v>
      </c>
      <c r="L9" t="str">
        <f>IF(Breakdown!A7="","",Breakdown!A7)</f>
        <v/>
      </c>
      <c r="M9" t="str">
        <f>IF(Breakdown!A7="","",Breakdown!C7)</f>
        <v/>
      </c>
      <c r="N9" s="3" t="str">
        <f>IF(Breakdown!A7="","",Breakdown!B7+9)</f>
        <v/>
      </c>
      <c r="R9" t="str">
        <f>IF(Breakdown!E7="","",Breakdown!E7)</f>
        <v/>
      </c>
      <c r="S9" t="str">
        <f>IF(Breakdown!E7="","",Breakdown!F7)</f>
        <v/>
      </c>
      <c r="T9" t="str">
        <f>IF(Breakdown!E7="","",Breakdown!G7-Breakdown!F7)</f>
        <v/>
      </c>
      <c r="U9" s="3" t="str">
        <f>IF(Breakdown!E7="","",(Breakdown!H7/Breakdown!G7)*(Breakdown!G7-Breakdown!F7))</f>
        <v/>
      </c>
    </row>
    <row r="10" spans="1:21" x14ac:dyDescent="0.25">
      <c r="E10" s="3"/>
      <c r="F10" s="1"/>
      <c r="G10" s="4" t="str">
        <f>IF(Table13[[#This Row],[Bottle Price (USD)]]="","",(Table13[[#This Row],[Bottle Price (USD)]]*Table13[[#This Row],[Tax Rate (%)]])+Table13[[#This Row],[Bottle Price (USD)]])</f>
        <v/>
      </c>
      <c r="J1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0" t="str">
        <f>IF(Breakdown!A8="","",Breakdown!A8)</f>
        <v/>
      </c>
      <c r="M10" t="str">
        <f>IF(Breakdown!A8="","",Breakdown!C8)</f>
        <v/>
      </c>
      <c r="N10" s="3" t="str">
        <f>IF(Breakdown!A8="","",Breakdown!B8+9)</f>
        <v/>
      </c>
      <c r="R10" t="str">
        <f>IF(Breakdown!E8="","",Breakdown!E8)</f>
        <v/>
      </c>
      <c r="S10" t="str">
        <f>IF(Breakdown!E8="","",Breakdown!F8)</f>
        <v/>
      </c>
      <c r="T10" t="str">
        <f>IF(Breakdown!E8="","",Breakdown!G8-Breakdown!F8)</f>
        <v/>
      </c>
      <c r="U10" s="3" t="str">
        <f>IF(Breakdown!E8="","",(Breakdown!H8/Breakdown!G8)*(Breakdown!G8-Breakdown!F8))</f>
        <v/>
      </c>
    </row>
    <row r="11" spans="1:21" x14ac:dyDescent="0.25">
      <c r="E11" s="3"/>
      <c r="F11" s="1"/>
      <c r="G11" s="4" t="str">
        <f>IF(Table13[[#This Row],[Bottle Price (USD)]]="","",(Table13[[#This Row],[Bottle Price (USD)]]*Table13[[#This Row],[Tax Rate (%)]])+Table13[[#This Row],[Bottle Price (USD)]])</f>
        <v/>
      </c>
      <c r="J1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1" t="str">
        <f>IF(Breakdown!A9="","",Breakdown!A9)</f>
        <v/>
      </c>
      <c r="M11" t="str">
        <f>IF(Breakdown!A9="","",Breakdown!C9)</f>
        <v/>
      </c>
      <c r="N11" s="3" t="str">
        <f>IF(Breakdown!A9="","",Breakdown!B9+9)</f>
        <v/>
      </c>
      <c r="R11" t="str">
        <f>IF(Breakdown!E9="","",Breakdown!E9)</f>
        <v/>
      </c>
      <c r="S11" t="str">
        <f>IF(Breakdown!E9="","",Breakdown!F9)</f>
        <v/>
      </c>
      <c r="T11" t="str">
        <f>IF(Breakdown!E9="","",Breakdown!G9-Breakdown!F9)</f>
        <v/>
      </c>
      <c r="U11" s="3" t="str">
        <f>IF(Breakdown!E9="","",(Breakdown!H9/Breakdown!G9)*(Breakdown!G9-Breakdown!F9))</f>
        <v/>
      </c>
    </row>
    <row r="12" spans="1:21" x14ac:dyDescent="0.25">
      <c r="E12" s="3"/>
      <c r="F12" s="1"/>
      <c r="G12" s="4" t="str">
        <f>IF(Table13[[#This Row],[Bottle Price (USD)]]="","",(Table13[[#This Row],[Bottle Price (USD)]]*Table13[[#This Row],[Tax Rate (%)]])+Table13[[#This Row],[Bottle Price (USD)]])</f>
        <v/>
      </c>
      <c r="J1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2" t="str">
        <f>IF(Breakdown!A10="","",Breakdown!A10)</f>
        <v/>
      </c>
      <c r="M12" t="str">
        <f>IF(Breakdown!A10="","",Breakdown!C10)</f>
        <v/>
      </c>
      <c r="N12" s="3" t="str">
        <f>IF(Breakdown!A10="","",Breakdown!B10+9)</f>
        <v/>
      </c>
      <c r="R12" t="str">
        <f>IF(Breakdown!E10="","",Breakdown!E10)</f>
        <v/>
      </c>
      <c r="S12" t="str">
        <f>IF(Breakdown!E10="","",Breakdown!F10)</f>
        <v/>
      </c>
      <c r="T12" t="str">
        <f>IF(Breakdown!E10="","",Breakdown!G10-Breakdown!F10)</f>
        <v/>
      </c>
      <c r="U12" s="3" t="str">
        <f>IF(Breakdown!E10="","",(Breakdown!H10/Breakdown!G10)*(Breakdown!G10-Breakdown!F10))</f>
        <v/>
      </c>
    </row>
    <row r="13" spans="1:21" x14ac:dyDescent="0.25">
      <c r="E13" s="3"/>
      <c r="F13" s="1"/>
      <c r="G13" s="4" t="str">
        <f>IF(Table13[[#This Row],[Bottle Price (USD)]]="","",(Table13[[#This Row],[Bottle Price (USD)]]*Table13[[#This Row],[Tax Rate (%)]])+Table13[[#This Row],[Bottle Price (USD)]])</f>
        <v/>
      </c>
      <c r="J1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3" t="str">
        <f>IF(Breakdown!A11="","",Breakdown!A11)</f>
        <v/>
      </c>
      <c r="M13" t="str">
        <f>IF(Breakdown!A11="","",Breakdown!C11)</f>
        <v/>
      </c>
      <c r="N13" s="3" t="str">
        <f>IF(Breakdown!A11="","",Breakdown!B11+9)</f>
        <v/>
      </c>
      <c r="R13" t="str">
        <f>IF(Breakdown!E11="","",Breakdown!E11)</f>
        <v/>
      </c>
      <c r="S13" t="str">
        <f>IF(Breakdown!E11="","",Breakdown!F11)</f>
        <v/>
      </c>
      <c r="T13" t="str">
        <f>IF(Breakdown!E11="","",Breakdown!G11-Breakdown!F11)</f>
        <v/>
      </c>
      <c r="U13" s="3" t="str">
        <f>IF(Breakdown!E11="","",(Breakdown!H11/Breakdown!G11)*(Breakdown!G11-Breakdown!F11))</f>
        <v/>
      </c>
    </row>
    <row r="14" spans="1:21" x14ac:dyDescent="0.25">
      <c r="E14" s="3"/>
      <c r="F14" s="1"/>
      <c r="G14" s="4" t="str">
        <f>IF(Table13[[#This Row],[Bottle Price (USD)]]="","",(Table13[[#This Row],[Bottle Price (USD)]]*Table13[[#This Row],[Tax Rate (%)]])+Table13[[#This Row],[Bottle Price (USD)]])</f>
        <v/>
      </c>
      <c r="J1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4" t="str">
        <f>IF(Breakdown!A12="","",Breakdown!A12)</f>
        <v/>
      </c>
      <c r="M14" t="str">
        <f>IF(Breakdown!A12="","",Breakdown!C12)</f>
        <v/>
      </c>
      <c r="N14" s="3" t="str">
        <f>IF(Breakdown!A12="","",Breakdown!B12+9)</f>
        <v/>
      </c>
      <c r="R14" t="str">
        <f>IF(Breakdown!E12="","",Breakdown!E12)</f>
        <v/>
      </c>
      <c r="S14" t="str">
        <f>IF(Breakdown!E12="","",Breakdown!F12)</f>
        <v/>
      </c>
      <c r="T14" t="str">
        <f>IF(Breakdown!E12="","",Breakdown!G12-Breakdown!F12)</f>
        <v/>
      </c>
      <c r="U14" s="3" t="str">
        <f>IF(Breakdown!E12="","",(Breakdown!H12/Breakdown!G12)*(Breakdown!G12-Breakdown!F12))</f>
        <v/>
      </c>
    </row>
    <row r="15" spans="1:21" x14ac:dyDescent="0.25">
      <c r="E15" s="3"/>
      <c r="F15" s="1"/>
      <c r="G15" s="4" t="str">
        <f>IF(Table13[[#This Row],[Bottle Price (USD)]]="","",(Table13[[#This Row],[Bottle Price (USD)]]*Table13[[#This Row],[Tax Rate (%)]])+Table13[[#This Row],[Bottle Price (USD)]])</f>
        <v/>
      </c>
      <c r="J1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5" t="str">
        <f>IF(Breakdown!A13="","",Breakdown!A13)</f>
        <v/>
      </c>
      <c r="M15" t="str">
        <f>IF(Breakdown!A13="","",Breakdown!C13)</f>
        <v/>
      </c>
      <c r="N15" s="3" t="str">
        <f>IF(Breakdown!A13="","",Breakdown!B13+9)</f>
        <v/>
      </c>
      <c r="R15" t="str">
        <f>IF(Breakdown!E13="","",Breakdown!E13)</f>
        <v/>
      </c>
      <c r="S15" t="str">
        <f>IF(Breakdown!E13="","",Breakdown!F13)</f>
        <v/>
      </c>
      <c r="T15" t="str">
        <f>IF(Breakdown!E13="","",Breakdown!G13-Breakdown!F13)</f>
        <v/>
      </c>
      <c r="U15" s="3" t="str">
        <f>IF(Breakdown!E13="","",(Breakdown!H13/Breakdown!G13)*(Breakdown!G13-Breakdown!F13))</f>
        <v/>
      </c>
    </row>
    <row r="16" spans="1:21" x14ac:dyDescent="0.25">
      <c r="E16" s="3"/>
      <c r="F16" s="1"/>
      <c r="G16" s="4" t="str">
        <f>IF(Table13[[#This Row],[Bottle Price (USD)]]="","",(Table13[[#This Row],[Bottle Price (USD)]]*Table13[[#This Row],[Tax Rate (%)]])+Table13[[#This Row],[Bottle Price (USD)]])</f>
        <v/>
      </c>
      <c r="J1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6" t="str">
        <f>IF(Breakdown!A14="","",Breakdown!A14)</f>
        <v/>
      </c>
      <c r="M16" t="str">
        <f>IF(Breakdown!A14="","",Breakdown!C14)</f>
        <v/>
      </c>
      <c r="N16" s="3" t="str">
        <f>IF(Breakdown!A14="","",Breakdown!B14+9)</f>
        <v/>
      </c>
      <c r="R16" t="str">
        <f>IF(Breakdown!E14="","",Breakdown!E14)</f>
        <v/>
      </c>
      <c r="S16" t="str">
        <f>IF(Breakdown!E14="","",Breakdown!F14)</f>
        <v/>
      </c>
      <c r="T16" t="str">
        <f>IF(Breakdown!E14="","",Breakdown!G14-Breakdown!F14)</f>
        <v/>
      </c>
      <c r="U16" s="3" t="str">
        <f>IF(Breakdown!E14="","",(Breakdown!H14/Breakdown!G14)*(Breakdown!G14-Breakdown!F14))</f>
        <v/>
      </c>
    </row>
    <row r="17" spans="5:21" x14ac:dyDescent="0.25">
      <c r="E17" s="3"/>
      <c r="F17" s="1"/>
      <c r="G17" s="4" t="str">
        <f>IF(Table13[[#This Row],[Bottle Price (USD)]]="","",(Table13[[#This Row],[Bottle Price (USD)]]*Table13[[#This Row],[Tax Rate (%)]])+Table13[[#This Row],[Bottle Price (USD)]])</f>
        <v/>
      </c>
      <c r="J1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7" t="str">
        <f>IF(Breakdown!A15="","",Breakdown!A15)</f>
        <v/>
      </c>
      <c r="M17" t="str">
        <f>IF(Breakdown!A15="","",Breakdown!C15)</f>
        <v/>
      </c>
      <c r="N17" s="3" t="str">
        <f>IF(Breakdown!A15="","",Breakdown!B15+9)</f>
        <v/>
      </c>
      <c r="R17" t="str">
        <f>IF(Breakdown!E15="","",Breakdown!E15)</f>
        <v/>
      </c>
      <c r="S17" t="str">
        <f>IF(Breakdown!E15="","",Breakdown!F15)</f>
        <v/>
      </c>
      <c r="T17" t="str">
        <f>IF(Breakdown!E15="","",Breakdown!G15-Breakdown!F15)</f>
        <v/>
      </c>
      <c r="U17" s="3" t="str">
        <f>IF(Breakdown!E15="","",(Breakdown!H15/Breakdown!G15)*(Breakdown!G15-Breakdown!F15))</f>
        <v/>
      </c>
    </row>
    <row r="18" spans="5:21" x14ac:dyDescent="0.25">
      <c r="E18" s="3"/>
      <c r="F18" s="1"/>
      <c r="G18" s="4" t="str">
        <f>IF(Table13[[#This Row],[Bottle Price (USD)]]="","",(Table13[[#This Row],[Bottle Price (USD)]]*Table13[[#This Row],[Tax Rate (%)]])+Table13[[#This Row],[Bottle Price (USD)]])</f>
        <v/>
      </c>
      <c r="J1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8" t="str">
        <f>IF(Breakdown!A16="","",Breakdown!A16)</f>
        <v/>
      </c>
      <c r="M18" t="str">
        <f>IF(Breakdown!A16="","",Breakdown!C16)</f>
        <v/>
      </c>
      <c r="N18" s="3" t="str">
        <f>IF(Breakdown!A16="","",Breakdown!B16+9)</f>
        <v/>
      </c>
      <c r="R18" t="str">
        <f>IF(Breakdown!E16="","",Breakdown!E16)</f>
        <v/>
      </c>
      <c r="S18" t="str">
        <f>IF(Breakdown!E16="","",Breakdown!F16)</f>
        <v/>
      </c>
      <c r="T18" t="str">
        <f>IF(Breakdown!E16="","",Breakdown!G16-Breakdown!F16)</f>
        <v/>
      </c>
      <c r="U18" s="3" t="str">
        <f>IF(Breakdown!E16="","",(Breakdown!H16/Breakdown!G16)*(Breakdown!G16-Breakdown!F16))</f>
        <v/>
      </c>
    </row>
    <row r="19" spans="5:21" x14ac:dyDescent="0.25">
      <c r="E19" s="3"/>
      <c r="F19" s="1"/>
      <c r="G19" s="4" t="str">
        <f>IF(Table13[[#This Row],[Bottle Price (USD)]]="","",(Table13[[#This Row],[Bottle Price (USD)]]*Table13[[#This Row],[Tax Rate (%)]])+Table13[[#This Row],[Bottle Price (USD)]])</f>
        <v/>
      </c>
      <c r="J1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19" t="str">
        <f>IF(Breakdown!A17="","",Breakdown!A17)</f>
        <v/>
      </c>
      <c r="M19" t="str">
        <f>IF(Breakdown!A17="","",Breakdown!C17)</f>
        <v/>
      </c>
      <c r="N19" s="3" t="str">
        <f>IF(Breakdown!A17="","",Breakdown!B17+9)</f>
        <v/>
      </c>
      <c r="R19" t="str">
        <f>IF(Breakdown!E17="","",Breakdown!E17)</f>
        <v/>
      </c>
      <c r="S19" t="str">
        <f>IF(Breakdown!E17="","",Breakdown!F17)</f>
        <v/>
      </c>
      <c r="T19" t="str">
        <f>IF(Breakdown!E17="","",Breakdown!G17-Breakdown!F17)</f>
        <v/>
      </c>
      <c r="U19" s="3" t="str">
        <f>IF(Breakdown!E17="","",(Breakdown!H17/Breakdown!G17)*(Breakdown!G17-Breakdown!F17))</f>
        <v/>
      </c>
    </row>
    <row r="20" spans="5:21" x14ac:dyDescent="0.25">
      <c r="E20" s="3"/>
      <c r="F20" s="1"/>
      <c r="G20" s="4" t="str">
        <f>IF(Table13[[#This Row],[Bottle Price (USD)]]="","",(Table13[[#This Row],[Bottle Price (USD)]]*Table13[[#This Row],[Tax Rate (%)]])+Table13[[#This Row],[Bottle Price (USD)]])</f>
        <v/>
      </c>
      <c r="J2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0" t="str">
        <f>IF(Breakdown!A18="","",Breakdown!A18)</f>
        <v/>
      </c>
      <c r="M20" t="str">
        <f>IF(Breakdown!A18="","",Breakdown!C18)</f>
        <v/>
      </c>
      <c r="N20" s="3" t="str">
        <f>IF(Breakdown!A18="","",Breakdown!B18+9)</f>
        <v/>
      </c>
    </row>
    <row r="21" spans="5:21" x14ac:dyDescent="0.25">
      <c r="E21" s="3"/>
      <c r="F21" s="1"/>
      <c r="G21" s="4" t="str">
        <f>IF(Table13[[#This Row],[Bottle Price (USD)]]="","",(Table13[[#This Row],[Bottle Price (USD)]]*Table13[[#This Row],[Tax Rate (%)]])+Table13[[#This Row],[Bottle Price (USD)]])</f>
        <v/>
      </c>
      <c r="J2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1" t="str">
        <f>IF(Breakdown!A19="","",Breakdown!A19)</f>
        <v/>
      </c>
      <c r="M21" t="str">
        <f>IF(Breakdown!A19="","",Breakdown!C19)</f>
        <v/>
      </c>
      <c r="N21" s="3" t="str">
        <f>IF(Breakdown!A19="","",Breakdown!B19+9)</f>
        <v/>
      </c>
    </row>
    <row r="22" spans="5:21" x14ac:dyDescent="0.25">
      <c r="E22" s="3"/>
      <c r="F22" s="1"/>
      <c r="G22" s="4" t="str">
        <f>IF(Table13[[#This Row],[Bottle Price (USD)]]="","",(Table13[[#This Row],[Bottle Price (USD)]]*Table13[[#This Row],[Tax Rate (%)]])+Table13[[#This Row],[Bottle Price (USD)]])</f>
        <v/>
      </c>
      <c r="J2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2" t="str">
        <f>IF(Breakdown!A20="","",Breakdown!A20)</f>
        <v/>
      </c>
      <c r="M22" t="str">
        <f>IF(Breakdown!A20="","",Breakdown!C20)</f>
        <v/>
      </c>
      <c r="N22" s="3" t="str">
        <f>IF(Breakdown!A20="","",Breakdown!B20+9)</f>
        <v/>
      </c>
    </row>
    <row r="23" spans="5:21" x14ac:dyDescent="0.25">
      <c r="E23" s="3"/>
      <c r="F23" s="1"/>
      <c r="G23" s="4" t="str">
        <f>IF(Table13[[#This Row],[Bottle Price (USD)]]="","",(Table13[[#This Row],[Bottle Price (USD)]]*Table13[[#This Row],[Tax Rate (%)]])+Table13[[#This Row],[Bottle Price (USD)]])</f>
        <v/>
      </c>
      <c r="J2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3" t="str">
        <f>IF(Breakdown!A21="","",Breakdown!A21)</f>
        <v/>
      </c>
      <c r="M23" t="str">
        <f>IF(Breakdown!A21="","",Breakdown!C21)</f>
        <v/>
      </c>
      <c r="N23" s="3" t="str">
        <f>IF(Breakdown!A21="","",Breakdown!B21+9)</f>
        <v/>
      </c>
    </row>
    <row r="24" spans="5:21" x14ac:dyDescent="0.25">
      <c r="E24" s="3"/>
      <c r="F24" s="1"/>
      <c r="G24" s="4" t="str">
        <f>IF(Table13[[#This Row],[Bottle Price (USD)]]="","",(Table13[[#This Row],[Bottle Price (USD)]]*Table13[[#This Row],[Tax Rate (%)]])+Table13[[#This Row],[Bottle Price (USD)]])</f>
        <v/>
      </c>
      <c r="J2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4" t="str">
        <f>IF(Breakdown!A22="","",Breakdown!A22)</f>
        <v/>
      </c>
      <c r="M24" t="str">
        <f>IF(Breakdown!A22="","",Breakdown!C22)</f>
        <v/>
      </c>
      <c r="N24" s="3" t="str">
        <f>IF(Breakdown!A22="","",Breakdown!B22+9)</f>
        <v/>
      </c>
    </row>
    <row r="25" spans="5:21" x14ac:dyDescent="0.25">
      <c r="E25" s="3"/>
      <c r="F25" s="1"/>
      <c r="G25" s="4" t="str">
        <f>IF(Table13[[#This Row],[Bottle Price (USD)]]="","",(Table13[[#This Row],[Bottle Price (USD)]]*Table13[[#This Row],[Tax Rate (%)]])+Table13[[#This Row],[Bottle Price (USD)]])</f>
        <v/>
      </c>
      <c r="J2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5" t="str">
        <f>IF(Breakdown!A23="","",Breakdown!A23)</f>
        <v/>
      </c>
      <c r="M25" t="str">
        <f>IF(Breakdown!A23="","",Breakdown!C23)</f>
        <v/>
      </c>
      <c r="N25" s="3" t="str">
        <f>IF(Breakdown!A23="","",Breakdown!B23+9)</f>
        <v/>
      </c>
    </row>
    <row r="26" spans="5:21" x14ac:dyDescent="0.25">
      <c r="E26" s="3"/>
      <c r="F26" s="1"/>
      <c r="G26" s="4" t="str">
        <f>IF(Table13[[#This Row],[Bottle Price (USD)]]="","",(Table13[[#This Row],[Bottle Price (USD)]]*Table13[[#This Row],[Tax Rate (%)]])+Table13[[#This Row],[Bottle Price (USD)]])</f>
        <v/>
      </c>
      <c r="J2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6" t="str">
        <f>IF(Breakdown!A24="","",Breakdown!A24)</f>
        <v/>
      </c>
      <c r="M26" t="str">
        <f>IF(Breakdown!A24="","",Breakdown!C24)</f>
        <v/>
      </c>
      <c r="N26" s="3" t="str">
        <f>IF(Breakdown!A24="","",Breakdown!B24+9)</f>
        <v/>
      </c>
    </row>
    <row r="27" spans="5:21" x14ac:dyDescent="0.25">
      <c r="E27" s="3"/>
      <c r="F27" s="1"/>
      <c r="G27" s="4" t="str">
        <f>IF(Table13[[#This Row],[Bottle Price (USD)]]="","",(Table13[[#This Row],[Bottle Price (USD)]]*Table13[[#This Row],[Tax Rate (%)]])+Table13[[#This Row],[Bottle Price (USD)]])</f>
        <v/>
      </c>
      <c r="J2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7" t="str">
        <f>IF(Breakdown!A25="","",Breakdown!A25)</f>
        <v/>
      </c>
      <c r="M27" t="str">
        <f>IF(Breakdown!A25="","",Breakdown!C25)</f>
        <v/>
      </c>
      <c r="N27" s="3" t="str">
        <f>IF(Breakdown!A25="","",Breakdown!B25+9)</f>
        <v/>
      </c>
    </row>
    <row r="28" spans="5:21" x14ac:dyDescent="0.25">
      <c r="E28" s="3"/>
      <c r="F28" s="1"/>
      <c r="G28" s="4" t="str">
        <f>IF(Table13[[#This Row],[Bottle Price (USD)]]="","",(Table13[[#This Row],[Bottle Price (USD)]]*Table13[[#This Row],[Tax Rate (%)]])+Table13[[#This Row],[Bottle Price (USD)]])</f>
        <v/>
      </c>
      <c r="J2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8" t="str">
        <f>IF(Breakdown!A26="","",Breakdown!A26)</f>
        <v/>
      </c>
      <c r="M28" t="str">
        <f>IF(Breakdown!A26="","",Breakdown!C26)</f>
        <v/>
      </c>
      <c r="N28" s="3" t="str">
        <f>IF(Breakdown!A26="","",Breakdown!B26+9)</f>
        <v/>
      </c>
    </row>
    <row r="29" spans="5:21" x14ac:dyDescent="0.25">
      <c r="E29" s="3"/>
      <c r="F29" s="1"/>
      <c r="G29" s="4" t="str">
        <f>IF(Table13[[#This Row],[Bottle Price (USD)]]="","",(Table13[[#This Row],[Bottle Price (USD)]]*Table13[[#This Row],[Tax Rate (%)]])+Table13[[#This Row],[Bottle Price (USD)]])</f>
        <v/>
      </c>
      <c r="J2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29" t="str">
        <f>IF(Breakdown!A27="","",Breakdown!A27)</f>
        <v/>
      </c>
      <c r="M29" t="str">
        <f>IF(Breakdown!A27="","",Breakdown!C27)</f>
        <v/>
      </c>
      <c r="N29" s="3" t="str">
        <f>IF(Breakdown!A27="","",Breakdown!B27+9)</f>
        <v/>
      </c>
    </row>
    <row r="30" spans="5:21" x14ac:dyDescent="0.25">
      <c r="E30" s="3"/>
      <c r="F30" s="1"/>
      <c r="G30" s="4" t="str">
        <f>IF(Table13[[#This Row],[Bottle Price (USD)]]="","",(Table13[[#This Row],[Bottle Price (USD)]]*Table13[[#This Row],[Tax Rate (%)]])+Table13[[#This Row],[Bottle Price (USD)]])</f>
        <v/>
      </c>
      <c r="J3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0" t="str">
        <f>IF(Breakdown!A28="","",Breakdown!A28)</f>
        <v/>
      </c>
      <c r="M30" t="str">
        <f>IF(Breakdown!A28="","",Breakdown!C28)</f>
        <v/>
      </c>
      <c r="N30" s="3" t="str">
        <f>IF(Breakdown!A28="","",Breakdown!B28+9)</f>
        <v/>
      </c>
    </row>
    <row r="31" spans="5:21" x14ac:dyDescent="0.25">
      <c r="E31" s="3"/>
      <c r="F31" s="1"/>
      <c r="G31" s="4" t="str">
        <f>IF(Table13[[#This Row],[Bottle Price (USD)]]="","",(Table13[[#This Row],[Bottle Price (USD)]]*Table13[[#This Row],[Tax Rate (%)]])+Table13[[#This Row],[Bottle Price (USD)]])</f>
        <v/>
      </c>
      <c r="J3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1" t="str">
        <f>IF(Breakdown!A29="","",Breakdown!A29)</f>
        <v/>
      </c>
      <c r="M31" t="str">
        <f>IF(Breakdown!A29="","",Breakdown!C29)</f>
        <v/>
      </c>
      <c r="N31" s="3" t="str">
        <f>IF(Breakdown!A29="","",Breakdown!B29+9)</f>
        <v/>
      </c>
    </row>
    <row r="32" spans="5:21" x14ac:dyDescent="0.25">
      <c r="E32" s="3"/>
      <c r="F32" s="1"/>
      <c r="G32" s="4" t="str">
        <f>IF(Table13[[#This Row],[Bottle Price (USD)]]="","",(Table13[[#This Row],[Bottle Price (USD)]]*Table13[[#This Row],[Tax Rate (%)]])+Table13[[#This Row],[Bottle Price (USD)]])</f>
        <v/>
      </c>
      <c r="J3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2" t="str">
        <f>IF(Breakdown!A30="","",Breakdown!A30)</f>
        <v/>
      </c>
      <c r="M32" t="str">
        <f>IF(Breakdown!A30="","",Breakdown!C30)</f>
        <v/>
      </c>
      <c r="N32" s="3" t="str">
        <f>IF(Breakdown!A30="","",Breakdown!B30+9)</f>
        <v/>
      </c>
    </row>
    <row r="33" spans="5:14" x14ac:dyDescent="0.25">
      <c r="E33" s="3"/>
      <c r="F33" s="1"/>
      <c r="G33" s="4" t="str">
        <f>IF(Table13[[#This Row],[Bottle Price (USD)]]="","",(Table13[[#This Row],[Bottle Price (USD)]]*Table13[[#This Row],[Tax Rate (%)]])+Table13[[#This Row],[Bottle Price (USD)]])</f>
        <v/>
      </c>
      <c r="J3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3" t="str">
        <f>IF(Breakdown!A31="","",Breakdown!A31)</f>
        <v/>
      </c>
      <c r="M33" t="str">
        <f>IF(Breakdown!A31="","",Breakdown!C31)</f>
        <v/>
      </c>
      <c r="N33" s="3" t="str">
        <f>IF(Breakdown!A31="","",Breakdown!B31+9)</f>
        <v/>
      </c>
    </row>
    <row r="34" spans="5:14" x14ac:dyDescent="0.25">
      <c r="E34" s="3"/>
      <c r="F34" s="1"/>
      <c r="G34" s="4" t="str">
        <f>IF(Table13[[#This Row],[Bottle Price (USD)]]="","",(Table13[[#This Row],[Bottle Price (USD)]]*Table13[[#This Row],[Tax Rate (%)]])+Table13[[#This Row],[Bottle Price (USD)]])</f>
        <v/>
      </c>
      <c r="J3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4" t="str">
        <f>IF(Breakdown!A32="","",Breakdown!A32)</f>
        <v/>
      </c>
      <c r="M34" t="str">
        <f>IF(Breakdown!A32="","",Breakdown!C32)</f>
        <v/>
      </c>
      <c r="N34" s="3" t="str">
        <f>IF(Breakdown!A32="","",Breakdown!B32+9)</f>
        <v/>
      </c>
    </row>
    <row r="35" spans="5:14" x14ac:dyDescent="0.25">
      <c r="E35" s="3"/>
      <c r="F35" s="1"/>
      <c r="G35" s="4" t="str">
        <f>IF(Table13[[#This Row],[Bottle Price (USD)]]="","",(Table13[[#This Row],[Bottle Price (USD)]]*Table13[[#This Row],[Tax Rate (%)]])+Table13[[#This Row],[Bottle Price (USD)]])</f>
        <v/>
      </c>
      <c r="J3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5" t="str">
        <f>IF(Breakdown!A33="","",Breakdown!A33)</f>
        <v/>
      </c>
      <c r="M35" t="str">
        <f>IF(Breakdown!A33="","",Breakdown!C33)</f>
        <v/>
      </c>
      <c r="N35" s="3" t="str">
        <f>IF(Breakdown!A33="","",Breakdown!B33+9)</f>
        <v/>
      </c>
    </row>
    <row r="36" spans="5:14" x14ac:dyDescent="0.25">
      <c r="E36" s="3"/>
      <c r="F36" s="1"/>
      <c r="G36" s="4" t="str">
        <f>IF(Table13[[#This Row],[Bottle Price (USD)]]="","",(Table13[[#This Row],[Bottle Price (USD)]]*Table13[[#This Row],[Tax Rate (%)]])+Table13[[#This Row],[Bottle Price (USD)]])</f>
        <v/>
      </c>
      <c r="J3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6" t="str">
        <f>IF(Breakdown!A34="","",Breakdown!A34)</f>
        <v/>
      </c>
      <c r="M36" t="str">
        <f>IF(Breakdown!A34="","",Breakdown!C34)</f>
        <v/>
      </c>
      <c r="N36" s="3" t="str">
        <f>IF(Breakdown!A34="","",Breakdown!B34+9)</f>
        <v/>
      </c>
    </row>
    <row r="37" spans="5:14" x14ac:dyDescent="0.25">
      <c r="E37" s="3"/>
      <c r="F37" s="1"/>
      <c r="G37" s="4" t="str">
        <f>IF(Table13[[#This Row],[Bottle Price (USD)]]="","",(Table13[[#This Row],[Bottle Price (USD)]]*Table13[[#This Row],[Tax Rate (%)]])+Table13[[#This Row],[Bottle Price (USD)]])</f>
        <v/>
      </c>
      <c r="J3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7" t="str">
        <f>IF(Breakdown!A35="","",Breakdown!A35)</f>
        <v/>
      </c>
      <c r="M37" t="str">
        <f>IF(Breakdown!A35="","",Breakdown!C35)</f>
        <v/>
      </c>
      <c r="N37" s="3" t="str">
        <f>IF(Breakdown!A35="","",Breakdown!B35+9)</f>
        <v/>
      </c>
    </row>
    <row r="38" spans="5:14" x14ac:dyDescent="0.25">
      <c r="E38" s="3"/>
      <c r="F38" s="1"/>
      <c r="G38" s="4" t="str">
        <f>IF(Table13[[#This Row],[Bottle Price (USD)]]="","",(Table13[[#This Row],[Bottle Price (USD)]]*Table13[[#This Row],[Tax Rate (%)]])+Table13[[#This Row],[Bottle Price (USD)]])</f>
        <v/>
      </c>
      <c r="J3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8" t="str">
        <f>IF(Breakdown!A36="","",Breakdown!A36)</f>
        <v/>
      </c>
      <c r="M38" t="str">
        <f>IF(Breakdown!A36="","",Breakdown!C36)</f>
        <v/>
      </c>
      <c r="N38" s="3" t="str">
        <f>IF(Breakdown!A36="","",Breakdown!B36+9)</f>
        <v/>
      </c>
    </row>
    <row r="39" spans="5:14" x14ac:dyDescent="0.25">
      <c r="E39" s="3"/>
      <c r="F39" s="1"/>
      <c r="G39" s="4" t="str">
        <f>IF(Table13[[#This Row],[Bottle Price (USD)]]="","",(Table13[[#This Row],[Bottle Price (USD)]]*Table13[[#This Row],[Tax Rate (%)]])+Table13[[#This Row],[Bottle Price (USD)]])</f>
        <v/>
      </c>
      <c r="J3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39" t="str">
        <f>IF(Breakdown!A37="","",Breakdown!A37)</f>
        <v/>
      </c>
      <c r="M39" t="str">
        <f>IF(Breakdown!A37="","",Breakdown!C37)</f>
        <v/>
      </c>
      <c r="N39" s="3" t="str">
        <f>IF(Breakdown!A37="","",Breakdown!B37+9)</f>
        <v/>
      </c>
    </row>
    <row r="40" spans="5:14" x14ac:dyDescent="0.25">
      <c r="E40" s="3"/>
      <c r="F40" s="1"/>
      <c r="G40" s="4" t="str">
        <f>IF(Table13[[#This Row],[Bottle Price (USD)]]="","",(Table13[[#This Row],[Bottle Price (USD)]]*Table13[[#This Row],[Tax Rate (%)]])+Table13[[#This Row],[Bottle Price (USD)]])</f>
        <v/>
      </c>
      <c r="J4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0" t="str">
        <f>IF(Breakdown!A38="","",Breakdown!A38)</f>
        <v/>
      </c>
      <c r="M40" t="str">
        <f>IF(Breakdown!A38="","",Breakdown!C38)</f>
        <v/>
      </c>
      <c r="N40" s="3" t="str">
        <f>IF(Breakdown!A38="","",Breakdown!B38+9)</f>
        <v/>
      </c>
    </row>
    <row r="41" spans="5:14" x14ac:dyDescent="0.25">
      <c r="E41" s="3"/>
      <c r="F41" s="1"/>
      <c r="G41" s="4" t="str">
        <f>IF(Table13[[#This Row],[Bottle Price (USD)]]="","",(Table13[[#This Row],[Bottle Price (USD)]]*Table13[[#This Row],[Tax Rate (%)]])+Table13[[#This Row],[Bottle Price (USD)]])</f>
        <v/>
      </c>
      <c r="J4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1" t="str">
        <f>IF(Breakdown!A39="","",Breakdown!A39)</f>
        <v/>
      </c>
      <c r="M41" t="str">
        <f>IF(Breakdown!A39="","",Breakdown!C39)</f>
        <v/>
      </c>
      <c r="N41" s="3" t="str">
        <f>IF(Breakdown!A39="","",Breakdown!B39+9)</f>
        <v/>
      </c>
    </row>
    <row r="42" spans="5:14" x14ac:dyDescent="0.25">
      <c r="E42" s="3"/>
      <c r="F42" s="1"/>
      <c r="G42" s="4" t="str">
        <f>IF(Table13[[#This Row],[Bottle Price (USD)]]="","",(Table13[[#This Row],[Bottle Price (USD)]]*Table13[[#This Row],[Tax Rate (%)]])+Table13[[#This Row],[Bottle Price (USD)]])</f>
        <v/>
      </c>
      <c r="J4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2" t="str">
        <f>IF(Breakdown!A40="","",Breakdown!A40)</f>
        <v/>
      </c>
      <c r="M42" t="str">
        <f>IF(Breakdown!A40="","",Breakdown!C40)</f>
        <v/>
      </c>
      <c r="N42" s="3" t="str">
        <f>IF(Breakdown!A40="","",Breakdown!B40+9)</f>
        <v/>
      </c>
    </row>
    <row r="43" spans="5:14" x14ac:dyDescent="0.25">
      <c r="E43" s="3"/>
      <c r="F43" s="1"/>
      <c r="G43" s="4" t="str">
        <f>IF(Table13[[#This Row],[Bottle Price (USD)]]="","",(Table13[[#This Row],[Bottle Price (USD)]]*Table13[[#This Row],[Tax Rate (%)]])+Table13[[#This Row],[Bottle Price (USD)]])</f>
        <v/>
      </c>
      <c r="J4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3" t="str">
        <f>IF(Breakdown!A41="","",Breakdown!A41)</f>
        <v/>
      </c>
      <c r="M43" t="str">
        <f>IF(Breakdown!A41="","",Breakdown!C41)</f>
        <v/>
      </c>
      <c r="N43" s="3" t="str">
        <f>IF(Breakdown!A41="","",Breakdown!B41+9)</f>
        <v/>
      </c>
    </row>
    <row r="44" spans="5:14" x14ac:dyDescent="0.25">
      <c r="E44" s="3"/>
      <c r="F44" s="1"/>
      <c r="G44" s="4" t="str">
        <f>IF(Table13[[#This Row],[Bottle Price (USD)]]="","",(Table13[[#This Row],[Bottle Price (USD)]]*Table13[[#This Row],[Tax Rate (%)]])+Table13[[#This Row],[Bottle Price (USD)]])</f>
        <v/>
      </c>
      <c r="J4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4" t="str">
        <f>IF(Breakdown!A42="","",Breakdown!A42)</f>
        <v/>
      </c>
      <c r="M44" t="str">
        <f>IF(Breakdown!A42="","",Breakdown!C42)</f>
        <v/>
      </c>
      <c r="N44" s="3" t="str">
        <f>IF(Breakdown!A42="","",Breakdown!B42+9)</f>
        <v/>
      </c>
    </row>
    <row r="45" spans="5:14" x14ac:dyDescent="0.25">
      <c r="E45" s="3"/>
      <c r="F45" s="1"/>
      <c r="G45" s="4" t="str">
        <f>IF(Table13[[#This Row],[Bottle Price (USD)]]="","",(Table13[[#This Row],[Bottle Price (USD)]]*Table13[[#This Row],[Tax Rate (%)]])+Table13[[#This Row],[Bottle Price (USD)]])</f>
        <v/>
      </c>
      <c r="J4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5" t="str">
        <f>IF(Breakdown!A43="","",Breakdown!A43)</f>
        <v/>
      </c>
      <c r="M45" t="str">
        <f>IF(Breakdown!A43="","",Breakdown!C43)</f>
        <v/>
      </c>
      <c r="N45" s="3" t="str">
        <f>IF(Breakdown!A43="","",Breakdown!B43+9)</f>
        <v/>
      </c>
    </row>
    <row r="46" spans="5:14" x14ac:dyDescent="0.25">
      <c r="E46" s="3"/>
      <c r="F46" s="1"/>
      <c r="G46" s="4" t="str">
        <f>IF(Table13[[#This Row],[Bottle Price (USD)]]="","",(Table13[[#This Row],[Bottle Price (USD)]]*Table13[[#This Row],[Tax Rate (%)]])+Table13[[#This Row],[Bottle Price (USD)]])</f>
        <v/>
      </c>
      <c r="J4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6" t="str">
        <f>IF(Breakdown!A44="","",Breakdown!A44)</f>
        <v/>
      </c>
      <c r="M46" t="str">
        <f>IF(Breakdown!A44="","",Breakdown!C44)</f>
        <v/>
      </c>
      <c r="N46" s="3" t="str">
        <f>IF(Breakdown!A44="","",Breakdown!B44+9)</f>
        <v/>
      </c>
    </row>
    <row r="47" spans="5:14" x14ac:dyDescent="0.25">
      <c r="E47" s="3"/>
      <c r="F47" s="1"/>
      <c r="G47" s="4" t="str">
        <f>IF(Table13[[#This Row],[Bottle Price (USD)]]="","",(Table13[[#This Row],[Bottle Price (USD)]]*Table13[[#This Row],[Tax Rate (%)]])+Table13[[#This Row],[Bottle Price (USD)]])</f>
        <v/>
      </c>
      <c r="J4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7" t="str">
        <f>IF(Breakdown!A45="","",Breakdown!A45)</f>
        <v/>
      </c>
      <c r="M47" t="str">
        <f>IF(Breakdown!A45="","",Breakdown!C45)</f>
        <v/>
      </c>
      <c r="N47" s="3" t="str">
        <f>IF(Breakdown!A45="","",Breakdown!B45+9)</f>
        <v/>
      </c>
    </row>
    <row r="48" spans="5:14" x14ac:dyDescent="0.25">
      <c r="E48" s="3"/>
      <c r="F48" s="1"/>
      <c r="G48" s="4" t="str">
        <f>IF(Table13[[#This Row],[Bottle Price (USD)]]="","",(Table13[[#This Row],[Bottle Price (USD)]]*Table13[[#This Row],[Tax Rate (%)]])+Table13[[#This Row],[Bottle Price (USD)]])</f>
        <v/>
      </c>
      <c r="J4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8" t="str">
        <f>IF(Breakdown!A46="","",Breakdown!A46)</f>
        <v/>
      </c>
      <c r="M48" t="str">
        <f>IF(Breakdown!A46="","",Breakdown!C46)</f>
        <v/>
      </c>
      <c r="N48" s="3" t="str">
        <f>IF(Breakdown!A46="","",Breakdown!B46+9)</f>
        <v/>
      </c>
    </row>
    <row r="49" spans="5:14" x14ac:dyDescent="0.25">
      <c r="E49" s="3"/>
      <c r="F49" s="1"/>
      <c r="G49" s="4" t="str">
        <f>IF(Table13[[#This Row],[Bottle Price (USD)]]="","",(Table13[[#This Row],[Bottle Price (USD)]]*Table13[[#This Row],[Tax Rate (%)]])+Table13[[#This Row],[Bottle Price (USD)]])</f>
        <v/>
      </c>
      <c r="J4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49" t="str">
        <f>IF(Breakdown!A47="","",Breakdown!A47)</f>
        <v/>
      </c>
      <c r="M49" t="str">
        <f>IF(Breakdown!A47="","",Breakdown!C47)</f>
        <v/>
      </c>
      <c r="N49" s="3" t="str">
        <f>IF(Breakdown!A47="","",Breakdown!B47+9)</f>
        <v/>
      </c>
    </row>
    <row r="50" spans="5:14" x14ac:dyDescent="0.25">
      <c r="E50" s="3"/>
      <c r="F50" s="1"/>
      <c r="G50" s="4" t="str">
        <f>IF(Table13[[#This Row],[Bottle Price (USD)]]="","",(Table13[[#This Row],[Bottle Price (USD)]]*Table13[[#This Row],[Tax Rate (%)]])+Table13[[#This Row],[Bottle Price (USD)]])</f>
        <v/>
      </c>
      <c r="J5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50" t="str">
        <f>IF(Breakdown!A48="","",Breakdown!A48)</f>
        <v/>
      </c>
      <c r="M50" t="str">
        <f>IF(Breakdown!A48="","",Breakdown!C48)</f>
        <v/>
      </c>
      <c r="N50" s="3" t="str">
        <f>IF(Breakdown!A48="","",Breakdown!B48+9)</f>
        <v/>
      </c>
    </row>
    <row r="51" spans="5:14" x14ac:dyDescent="0.25">
      <c r="E51" s="3"/>
      <c r="F51" s="1"/>
      <c r="G51" s="4" t="str">
        <f>IF(Table13[[#This Row],[Bottle Price (USD)]]="","",(Table13[[#This Row],[Bottle Price (USD)]]*Table13[[#This Row],[Tax Rate (%)]])+Table13[[#This Row],[Bottle Price (USD)]])</f>
        <v/>
      </c>
      <c r="J5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51" t="str">
        <f>IF(Breakdown!A49="","",Breakdown!A49)</f>
        <v/>
      </c>
      <c r="M51" t="str">
        <f>IF(Breakdown!A49="","",Breakdown!C49)</f>
        <v/>
      </c>
      <c r="N51" s="3" t="str">
        <f>IF(Breakdown!A49="","",Breakdown!B49+9)</f>
        <v/>
      </c>
    </row>
    <row r="52" spans="5:14" x14ac:dyDescent="0.25">
      <c r="E52" s="3"/>
      <c r="F52" s="1"/>
      <c r="G52" s="4" t="str">
        <f>IF(Table13[[#This Row],[Bottle Price (USD)]]="","",(Table13[[#This Row],[Bottle Price (USD)]]*Table13[[#This Row],[Tax Rate (%)]])+Table13[[#This Row],[Bottle Price (USD)]])</f>
        <v/>
      </c>
      <c r="J5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52" t="str">
        <f>IF(Breakdown!A50="","",Breakdown!A50)</f>
        <v/>
      </c>
      <c r="M52" t="str">
        <f>IF(Breakdown!A50="","",Breakdown!C50)</f>
        <v/>
      </c>
      <c r="N52" s="3" t="str">
        <f>IF(Breakdown!A50="","",Breakdown!B50+9)</f>
        <v/>
      </c>
    </row>
    <row r="53" spans="5:14" x14ac:dyDescent="0.25">
      <c r="E53" s="3"/>
      <c r="F53" s="1"/>
      <c r="G53" s="4" t="str">
        <f>IF(Table13[[#This Row],[Bottle Price (USD)]]="","",(Table13[[#This Row],[Bottle Price (USD)]]*Table13[[#This Row],[Tax Rate (%)]])+Table13[[#This Row],[Bottle Price (USD)]])</f>
        <v/>
      </c>
      <c r="J5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  <c r="L53" t="str">
        <f>IF(Breakdown!A51="","",Breakdown!A51)</f>
        <v/>
      </c>
      <c r="M53" t="str">
        <f>IF(Breakdown!A51="","",Breakdown!C51)</f>
        <v/>
      </c>
      <c r="N53" s="3" t="str">
        <f>IF(Breakdown!A51="","",Breakdown!B51+9)</f>
        <v/>
      </c>
    </row>
    <row r="54" spans="5:14" x14ac:dyDescent="0.25">
      <c r="E54" s="3"/>
      <c r="F54" s="1"/>
      <c r="G54" s="4" t="str">
        <f>IF(Table13[[#This Row],[Bottle Price (USD)]]="","",(Table13[[#This Row],[Bottle Price (USD)]]*Table13[[#This Row],[Tax Rate (%)]])+Table13[[#This Row],[Bottle Price (USD)]])</f>
        <v/>
      </c>
      <c r="J5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55" spans="5:14" x14ac:dyDescent="0.25">
      <c r="E55" s="3"/>
      <c r="F55" s="1"/>
      <c r="G55" s="4" t="str">
        <f>IF(Table13[[#This Row],[Bottle Price (USD)]]="","",(Table13[[#This Row],[Bottle Price (USD)]]*Table13[[#This Row],[Tax Rate (%)]])+Table13[[#This Row],[Bottle Price (USD)]])</f>
        <v/>
      </c>
      <c r="J5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56" spans="5:14" x14ac:dyDescent="0.25">
      <c r="E56" s="3"/>
      <c r="F56" s="1"/>
      <c r="G56" s="4" t="str">
        <f>IF(Table13[[#This Row],[Bottle Price (USD)]]="","",(Table13[[#This Row],[Bottle Price (USD)]]*Table13[[#This Row],[Tax Rate (%)]])+Table13[[#This Row],[Bottle Price (USD)]])</f>
        <v/>
      </c>
      <c r="J5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57" spans="5:14" x14ac:dyDescent="0.25">
      <c r="E57" s="3"/>
      <c r="F57" s="1"/>
      <c r="G57" s="4" t="str">
        <f>IF(Table13[[#This Row],[Bottle Price (USD)]]="","",(Table13[[#This Row],[Bottle Price (USD)]]*Table13[[#This Row],[Tax Rate (%)]])+Table13[[#This Row],[Bottle Price (USD)]])</f>
        <v/>
      </c>
      <c r="J5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58" spans="5:14" x14ac:dyDescent="0.25">
      <c r="E58" s="3"/>
      <c r="F58" s="1"/>
      <c r="G58" s="4" t="str">
        <f>IF(Table13[[#This Row],[Bottle Price (USD)]]="","",(Table13[[#This Row],[Bottle Price (USD)]]*Table13[[#This Row],[Tax Rate (%)]])+Table13[[#This Row],[Bottle Price (USD)]])</f>
        <v/>
      </c>
      <c r="J5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59" spans="5:14" x14ac:dyDescent="0.25">
      <c r="E59" s="3"/>
      <c r="F59" s="1"/>
      <c r="G59" s="4" t="str">
        <f>IF(Table13[[#This Row],[Bottle Price (USD)]]="","",(Table13[[#This Row],[Bottle Price (USD)]]*Table13[[#This Row],[Tax Rate (%)]])+Table13[[#This Row],[Bottle Price (USD)]])</f>
        <v/>
      </c>
      <c r="J5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0" spans="5:14" x14ac:dyDescent="0.25">
      <c r="E60" s="3"/>
      <c r="F60" s="1"/>
      <c r="G60" s="4" t="str">
        <f>IF(Table13[[#This Row],[Bottle Price (USD)]]="","",(Table13[[#This Row],[Bottle Price (USD)]]*Table13[[#This Row],[Tax Rate (%)]])+Table13[[#This Row],[Bottle Price (USD)]])</f>
        <v/>
      </c>
      <c r="J6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1" spans="5:14" x14ac:dyDescent="0.25">
      <c r="E61" s="3"/>
      <c r="F61" s="1"/>
      <c r="G61" s="4" t="str">
        <f>IF(Table13[[#This Row],[Bottle Price (USD)]]="","",(Table13[[#This Row],[Bottle Price (USD)]]*Table13[[#This Row],[Tax Rate (%)]])+Table13[[#This Row],[Bottle Price (USD)]])</f>
        <v/>
      </c>
      <c r="J6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2" spans="5:14" x14ac:dyDescent="0.25">
      <c r="E62" s="3"/>
      <c r="F62" s="1"/>
      <c r="G62" s="4" t="str">
        <f>IF(Table13[[#This Row],[Bottle Price (USD)]]="","",(Table13[[#This Row],[Bottle Price (USD)]]*Table13[[#This Row],[Tax Rate (%)]])+Table13[[#This Row],[Bottle Price (USD)]])</f>
        <v/>
      </c>
      <c r="J6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3" spans="5:14" x14ac:dyDescent="0.25">
      <c r="E63" s="3"/>
      <c r="F63" s="1"/>
      <c r="G63" s="4" t="str">
        <f>IF(Table13[[#This Row],[Bottle Price (USD)]]="","",(Table13[[#This Row],[Bottle Price (USD)]]*Table13[[#This Row],[Tax Rate (%)]])+Table13[[#This Row],[Bottle Price (USD)]])</f>
        <v/>
      </c>
      <c r="J6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4" spans="5:14" x14ac:dyDescent="0.25">
      <c r="E64" s="3"/>
      <c r="F64" s="1"/>
      <c r="G64" s="4" t="str">
        <f>IF(Table13[[#This Row],[Bottle Price (USD)]]="","",(Table13[[#This Row],[Bottle Price (USD)]]*Table13[[#This Row],[Tax Rate (%)]])+Table13[[#This Row],[Bottle Price (USD)]])</f>
        <v/>
      </c>
      <c r="J6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5" spans="5:10" x14ac:dyDescent="0.25">
      <c r="E65" s="3"/>
      <c r="F65" s="1"/>
      <c r="G65" s="4" t="str">
        <f>IF(Table13[[#This Row],[Bottle Price (USD)]]="","",(Table13[[#This Row],[Bottle Price (USD)]]*Table13[[#This Row],[Tax Rate (%)]])+Table13[[#This Row],[Bottle Price (USD)]])</f>
        <v/>
      </c>
      <c r="J6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6" spans="5:10" x14ac:dyDescent="0.25">
      <c r="E66" s="3"/>
      <c r="F66" s="1"/>
      <c r="G66" s="4" t="str">
        <f>IF(Table13[[#This Row],[Bottle Price (USD)]]="","",(Table13[[#This Row],[Bottle Price (USD)]]*Table13[[#This Row],[Tax Rate (%)]])+Table13[[#This Row],[Bottle Price (USD)]])</f>
        <v/>
      </c>
      <c r="J6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7" spans="5:10" x14ac:dyDescent="0.25">
      <c r="E67" s="3"/>
      <c r="F67" s="1"/>
      <c r="G67" s="4" t="str">
        <f>IF(Table13[[#This Row],[Bottle Price (USD)]]="","",(Table13[[#This Row],[Bottle Price (USD)]]*Table13[[#This Row],[Tax Rate (%)]])+Table13[[#This Row],[Bottle Price (USD)]])</f>
        <v/>
      </c>
      <c r="J6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8" spans="5:10" x14ac:dyDescent="0.25">
      <c r="E68" s="3"/>
      <c r="F68" s="1"/>
      <c r="G68" s="4" t="str">
        <f>IF(Table13[[#This Row],[Bottle Price (USD)]]="","",(Table13[[#This Row],[Bottle Price (USD)]]*Table13[[#This Row],[Tax Rate (%)]])+Table13[[#This Row],[Bottle Price (USD)]])</f>
        <v/>
      </c>
      <c r="J6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69" spans="5:10" x14ac:dyDescent="0.25">
      <c r="E69" s="3"/>
      <c r="F69" s="1"/>
      <c r="G69" s="4" t="str">
        <f>IF(Table13[[#This Row],[Bottle Price (USD)]]="","",(Table13[[#This Row],[Bottle Price (USD)]]*Table13[[#This Row],[Tax Rate (%)]])+Table13[[#This Row],[Bottle Price (USD)]])</f>
        <v/>
      </c>
      <c r="J6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0" spans="5:10" x14ac:dyDescent="0.25">
      <c r="E70" s="3"/>
      <c r="F70" s="1"/>
      <c r="G70" s="4" t="str">
        <f>IF(Table13[[#This Row],[Bottle Price (USD)]]="","",(Table13[[#This Row],[Bottle Price (USD)]]*Table13[[#This Row],[Tax Rate (%)]])+Table13[[#This Row],[Bottle Price (USD)]])</f>
        <v/>
      </c>
      <c r="J7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1" spans="5:10" x14ac:dyDescent="0.25">
      <c r="E71" s="3"/>
      <c r="F71" s="1"/>
      <c r="G71" s="4" t="str">
        <f>IF(Table13[[#This Row],[Bottle Price (USD)]]="","",(Table13[[#This Row],[Bottle Price (USD)]]*Table13[[#This Row],[Tax Rate (%)]])+Table13[[#This Row],[Bottle Price (USD)]])</f>
        <v/>
      </c>
      <c r="J7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2" spans="5:10" x14ac:dyDescent="0.25">
      <c r="E72" s="3"/>
      <c r="F72" s="1"/>
      <c r="G72" s="4" t="str">
        <f>IF(Table13[[#This Row],[Bottle Price (USD)]]="","",(Table13[[#This Row],[Bottle Price (USD)]]*Table13[[#This Row],[Tax Rate (%)]])+Table13[[#This Row],[Bottle Price (USD)]])</f>
        <v/>
      </c>
      <c r="J7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3" spans="5:10" x14ac:dyDescent="0.25">
      <c r="E73" s="3"/>
      <c r="F73" s="1"/>
      <c r="G73" s="4" t="str">
        <f>IF(Table13[[#This Row],[Bottle Price (USD)]]="","",(Table13[[#This Row],[Bottle Price (USD)]]*Table13[[#This Row],[Tax Rate (%)]])+Table13[[#This Row],[Bottle Price (USD)]])</f>
        <v/>
      </c>
      <c r="J7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4" spans="5:10" x14ac:dyDescent="0.25">
      <c r="E74" s="3"/>
      <c r="F74" s="1"/>
      <c r="G74" s="4" t="str">
        <f>IF(Table13[[#This Row],[Bottle Price (USD)]]="","",(Table13[[#This Row],[Bottle Price (USD)]]*Table13[[#This Row],[Tax Rate (%)]])+Table13[[#This Row],[Bottle Price (USD)]])</f>
        <v/>
      </c>
      <c r="J7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5" spans="5:10" x14ac:dyDescent="0.25">
      <c r="E75" s="3"/>
      <c r="F75" s="1"/>
      <c r="G75" s="4" t="str">
        <f>IF(Table13[[#This Row],[Bottle Price (USD)]]="","",(Table13[[#This Row],[Bottle Price (USD)]]*Table13[[#This Row],[Tax Rate (%)]])+Table13[[#This Row],[Bottle Price (USD)]])</f>
        <v/>
      </c>
      <c r="J7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6" spans="5:10" x14ac:dyDescent="0.25">
      <c r="E76" s="3"/>
      <c r="F76" s="1"/>
      <c r="G76" s="4" t="str">
        <f>IF(Table13[[#This Row],[Bottle Price (USD)]]="","",(Table13[[#This Row],[Bottle Price (USD)]]*Table13[[#This Row],[Tax Rate (%)]])+Table13[[#This Row],[Bottle Price (USD)]])</f>
        <v/>
      </c>
      <c r="J7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7" spans="5:10" x14ac:dyDescent="0.25">
      <c r="E77" s="3"/>
      <c r="F77" s="1"/>
      <c r="G77" s="4" t="str">
        <f>IF(Table13[[#This Row],[Bottle Price (USD)]]="","",(Table13[[#This Row],[Bottle Price (USD)]]*Table13[[#This Row],[Tax Rate (%)]])+Table13[[#This Row],[Bottle Price (USD)]])</f>
        <v/>
      </c>
      <c r="J7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8" spans="5:10" x14ac:dyDescent="0.25">
      <c r="E78" s="3"/>
      <c r="F78" s="1"/>
      <c r="G78" s="4" t="str">
        <f>IF(Table13[[#This Row],[Bottle Price (USD)]]="","",(Table13[[#This Row],[Bottle Price (USD)]]*Table13[[#This Row],[Tax Rate (%)]])+Table13[[#This Row],[Bottle Price (USD)]])</f>
        <v/>
      </c>
      <c r="J7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79" spans="5:10" x14ac:dyDescent="0.25">
      <c r="E79" s="3"/>
      <c r="F79" s="1"/>
      <c r="G79" s="4" t="str">
        <f>IF(Table13[[#This Row],[Bottle Price (USD)]]="","",(Table13[[#This Row],[Bottle Price (USD)]]*Table13[[#This Row],[Tax Rate (%)]])+Table13[[#This Row],[Bottle Price (USD)]])</f>
        <v/>
      </c>
      <c r="J7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0" spans="5:10" x14ac:dyDescent="0.25">
      <c r="E80" s="3"/>
      <c r="F80" s="1"/>
      <c r="G80" s="4" t="str">
        <f>IF(Table13[[#This Row],[Bottle Price (USD)]]="","",(Table13[[#This Row],[Bottle Price (USD)]]*Table13[[#This Row],[Tax Rate (%)]])+Table13[[#This Row],[Bottle Price (USD)]])</f>
        <v/>
      </c>
      <c r="J8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1" spans="5:10" x14ac:dyDescent="0.25">
      <c r="E81" s="3"/>
      <c r="F81" s="1"/>
      <c r="G81" s="4" t="str">
        <f>IF(Table13[[#This Row],[Bottle Price (USD)]]="","",(Table13[[#This Row],[Bottle Price (USD)]]*Table13[[#This Row],[Tax Rate (%)]])+Table13[[#This Row],[Bottle Price (USD)]])</f>
        <v/>
      </c>
      <c r="J8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2" spans="5:10" x14ac:dyDescent="0.25">
      <c r="E82" s="3"/>
      <c r="F82" s="1"/>
      <c r="G82" s="4" t="str">
        <f>IF(Table13[[#This Row],[Bottle Price (USD)]]="","",(Table13[[#This Row],[Bottle Price (USD)]]*Table13[[#This Row],[Tax Rate (%)]])+Table13[[#This Row],[Bottle Price (USD)]])</f>
        <v/>
      </c>
      <c r="J8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3" spans="5:10" x14ac:dyDescent="0.25">
      <c r="E83" s="3"/>
      <c r="F83" s="1"/>
      <c r="G83" s="4" t="str">
        <f>IF(Table13[[#This Row],[Bottle Price (USD)]]="","",(Table13[[#This Row],[Bottle Price (USD)]]*Table13[[#This Row],[Tax Rate (%)]])+Table13[[#This Row],[Bottle Price (USD)]])</f>
        <v/>
      </c>
      <c r="J8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4" spans="5:10" x14ac:dyDescent="0.25">
      <c r="E84" s="3"/>
      <c r="F84" s="1"/>
      <c r="G84" s="4" t="str">
        <f>IF(Table13[[#This Row],[Bottle Price (USD)]]="","",(Table13[[#This Row],[Bottle Price (USD)]]*Table13[[#This Row],[Tax Rate (%)]])+Table13[[#This Row],[Bottle Price (USD)]])</f>
        <v/>
      </c>
      <c r="J8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5" spans="5:10" x14ac:dyDescent="0.25">
      <c r="E85" s="3"/>
      <c r="F85" s="1"/>
      <c r="G85" s="4" t="str">
        <f>IF(Table13[[#This Row],[Bottle Price (USD)]]="","",(Table13[[#This Row],[Bottle Price (USD)]]*Table13[[#This Row],[Tax Rate (%)]])+Table13[[#This Row],[Bottle Price (USD)]])</f>
        <v/>
      </c>
      <c r="J8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6" spans="5:10" x14ac:dyDescent="0.25">
      <c r="E86" s="3"/>
      <c r="F86" s="1"/>
      <c r="G86" s="4" t="str">
        <f>IF(Table13[[#This Row],[Bottle Price (USD)]]="","",(Table13[[#This Row],[Bottle Price (USD)]]*Table13[[#This Row],[Tax Rate (%)]])+Table13[[#This Row],[Bottle Price (USD)]])</f>
        <v/>
      </c>
      <c r="J8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7" spans="5:10" x14ac:dyDescent="0.25">
      <c r="E87" s="3"/>
      <c r="F87" s="1"/>
      <c r="G87" s="4" t="str">
        <f>IF(Table13[[#This Row],[Bottle Price (USD)]]="","",(Table13[[#This Row],[Bottle Price (USD)]]*Table13[[#This Row],[Tax Rate (%)]])+Table13[[#This Row],[Bottle Price (USD)]])</f>
        <v/>
      </c>
      <c r="J8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8" spans="5:10" x14ac:dyDescent="0.25">
      <c r="E88" s="3"/>
      <c r="F88" s="1"/>
      <c r="G88" s="4" t="str">
        <f>IF(Table13[[#This Row],[Bottle Price (USD)]]="","",(Table13[[#This Row],[Bottle Price (USD)]]*Table13[[#This Row],[Tax Rate (%)]])+Table13[[#This Row],[Bottle Price (USD)]])</f>
        <v/>
      </c>
      <c r="J8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89" spans="5:10" x14ac:dyDescent="0.25">
      <c r="E89" s="3"/>
      <c r="F89" s="1"/>
      <c r="G89" s="4" t="str">
        <f>IF(Table13[[#This Row],[Bottle Price (USD)]]="","",(Table13[[#This Row],[Bottle Price (USD)]]*Table13[[#This Row],[Tax Rate (%)]])+Table13[[#This Row],[Bottle Price (USD)]])</f>
        <v/>
      </c>
      <c r="J8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0" spans="5:10" x14ac:dyDescent="0.25">
      <c r="E90" s="3"/>
      <c r="F90" s="1"/>
      <c r="G90" s="4" t="str">
        <f>IF(Table13[[#This Row],[Bottle Price (USD)]]="","",(Table13[[#This Row],[Bottle Price (USD)]]*Table13[[#This Row],[Tax Rate (%)]])+Table13[[#This Row],[Bottle Price (USD)]])</f>
        <v/>
      </c>
      <c r="J9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1" spans="5:10" x14ac:dyDescent="0.25">
      <c r="E91" s="3"/>
      <c r="F91" s="1"/>
      <c r="G91" s="4" t="str">
        <f>IF(Table13[[#This Row],[Bottle Price (USD)]]="","",(Table13[[#This Row],[Bottle Price (USD)]]*Table13[[#This Row],[Tax Rate (%)]])+Table13[[#This Row],[Bottle Price (USD)]])</f>
        <v/>
      </c>
      <c r="J91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2" spans="5:10" x14ac:dyDescent="0.25">
      <c r="E92" s="3"/>
      <c r="F92" s="1"/>
      <c r="G92" s="4" t="str">
        <f>IF(Table13[[#This Row],[Bottle Price (USD)]]="","",(Table13[[#This Row],[Bottle Price (USD)]]*Table13[[#This Row],[Tax Rate (%)]])+Table13[[#This Row],[Bottle Price (USD)]])</f>
        <v/>
      </c>
      <c r="J92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3" spans="5:10" x14ac:dyDescent="0.25">
      <c r="E93" s="3"/>
      <c r="F93" s="1"/>
      <c r="G93" s="4" t="str">
        <f>IF(Table13[[#This Row],[Bottle Price (USD)]]="","",(Table13[[#This Row],[Bottle Price (USD)]]*Table13[[#This Row],[Tax Rate (%)]])+Table13[[#This Row],[Bottle Price (USD)]])</f>
        <v/>
      </c>
      <c r="J93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4" spans="5:10" x14ac:dyDescent="0.25">
      <c r="E94" s="3"/>
      <c r="F94" s="1"/>
      <c r="G94" s="4" t="str">
        <f>IF(Table13[[#This Row],[Bottle Price (USD)]]="","",(Table13[[#This Row],[Bottle Price (USD)]]*Table13[[#This Row],[Tax Rate (%)]])+Table13[[#This Row],[Bottle Price (USD)]])</f>
        <v/>
      </c>
      <c r="J94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5" spans="5:10" x14ac:dyDescent="0.25">
      <c r="E95" s="3"/>
      <c r="F95" s="1"/>
      <c r="G95" s="4" t="str">
        <f>IF(Table13[[#This Row],[Bottle Price (USD)]]="","",(Table13[[#This Row],[Bottle Price (USD)]]*Table13[[#This Row],[Tax Rate (%)]])+Table13[[#This Row],[Bottle Price (USD)]])</f>
        <v/>
      </c>
      <c r="J95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6" spans="5:10" x14ac:dyDescent="0.25">
      <c r="E96" s="3"/>
      <c r="F96" s="1"/>
      <c r="G96" s="4" t="str">
        <f>IF(Table13[[#This Row],[Bottle Price (USD)]]="","",(Table13[[#This Row],[Bottle Price (USD)]]*Table13[[#This Row],[Tax Rate (%)]])+Table13[[#This Row],[Bottle Price (USD)]])</f>
        <v/>
      </c>
      <c r="J96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7" spans="5:10" x14ac:dyDescent="0.25">
      <c r="E97" s="3"/>
      <c r="F97" s="1"/>
      <c r="G97" s="4" t="str">
        <f>IF(Table13[[#This Row],[Bottle Price (USD)]]="","",(Table13[[#This Row],[Bottle Price (USD)]]*Table13[[#This Row],[Tax Rate (%)]])+Table13[[#This Row],[Bottle Price (USD)]])</f>
        <v/>
      </c>
      <c r="J97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8" spans="5:10" x14ac:dyDescent="0.25">
      <c r="E98" s="3"/>
      <c r="F98" s="1"/>
      <c r="G98" s="4" t="str">
        <f>IF(Table13[[#This Row],[Bottle Price (USD)]]="","",(Table13[[#This Row],[Bottle Price (USD)]]*Table13[[#This Row],[Tax Rate (%)]])+Table13[[#This Row],[Bottle Price (USD)]])</f>
        <v/>
      </c>
      <c r="J98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99" spans="5:10" x14ac:dyDescent="0.25">
      <c r="E99" s="3"/>
      <c r="F99" s="1"/>
      <c r="G99" s="4" t="str">
        <f>IF(Table13[[#This Row],[Bottle Price (USD)]]="","",(Table13[[#This Row],[Bottle Price (USD)]]*Table13[[#This Row],[Tax Rate (%)]])+Table13[[#This Row],[Bottle Price (USD)]])</f>
        <v/>
      </c>
      <c r="J99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  <row r="100" spans="5:10" x14ac:dyDescent="0.25">
      <c r="E100" s="3"/>
      <c r="F100" s="1"/>
      <c r="G100" s="4" t="str">
        <f>IF(Table13[[#This Row],[Bottle Price (USD)]]="","",(Table13[[#This Row],[Bottle Price (USD)]]*Table13[[#This Row],[Tax Rate (%)]])+Table13[[#This Row],[Bottle Price (USD)]])</f>
        <v/>
      </c>
      <c r="J100" s="4" t="str">
        <f>IF(Table13[[#This Row],[Total Bottle Price (USD)]]="","",((Table13[[#This Row],[Total Bottle Price (USD)]]/Table13[[#This Row],[Size (ml)]])*Table13[[#This Row],[Sample Size (ML)]]+((IF(Table13[[#This Row],[Sample Size (ML)]]="","",(IF(Table13[[#This Row],[Sample Size (ML)]]&gt;60,3,1))))))-(IF(Table13[[#This Row],[Sample Size (ML)]]=120,1,0)))</f>
        <v/>
      </c>
    </row>
  </sheetData>
  <mergeCells count="3">
    <mergeCell ref="A1:J2"/>
    <mergeCell ref="L1:P2"/>
    <mergeCell ref="R1:U2"/>
  </mergeCells>
  <dataValidations count="1">
    <dataValidation type="list" allowBlank="1" showInputMessage="1" showErrorMessage="1" sqref="O4:P53" xr:uid="{E2A4F46E-B548-46B5-B205-99196FFE9347}">
      <formula1>"Yes,No"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8EED105-A507-467A-9B6B-E0B435996522}">
          <x14:formula1>
            <xm:f>'reference cells'!$A$2:$A$24</xm:f>
          </x14:formula1>
          <xm:sqref>A4:A100</xm:sqref>
        </x14:dataValidation>
        <x14:dataValidation type="list" allowBlank="1" showInputMessage="1" showErrorMessage="1" xr:uid="{7039BDCA-4E4A-4707-B6E8-94216E75A1AE}">
          <x14:formula1>
            <xm:f>'reference cells'!$E$2:$E$57</xm:f>
          </x14:formula1>
          <xm:sqref>B4:B100</xm:sqref>
        </x14:dataValidation>
        <x14:dataValidation type="list" allowBlank="1" showInputMessage="1" showErrorMessage="1" xr:uid="{628119B2-6539-4792-8D0C-CE3F4493D3DB}">
          <x14:formula1>
            <xm:f>'reference cells'!$C$2:$C$9</xm:f>
          </x14:formula1>
          <xm:sqref>D4:D100</xm:sqref>
        </x14:dataValidation>
        <x14:dataValidation type="list" allowBlank="1" showInputMessage="1" showErrorMessage="1" xr:uid="{045C4188-677C-44BE-AC60-2EBAB186F983}">
          <x14:formula1>
            <xm:f>'reference cells'!$K$2:$K$118</xm:f>
          </x14:formula1>
          <xm:sqref>F4:F100</xm:sqref>
        </x14:dataValidation>
        <x14:dataValidation type="list" allowBlank="1" showInputMessage="1" showErrorMessage="1" xr:uid="{C04F8916-74EC-4A49-9CDB-8F96A6DFA844}">
          <x14:formula1>
            <xm:f>'reference cells'!$I$2:$I$6</xm:f>
          </x14:formula1>
          <xm:sqref>H4:H100</xm:sqref>
        </x14:dataValidation>
        <x14:dataValidation type="list" allowBlank="1" showInputMessage="1" showErrorMessage="1" xr:uid="{C932C3B8-31E1-476A-80CF-92A95385A985}">
          <x14:formula1>
            <xm:f>'reference cells'!$G$2:$G$40</xm:f>
          </x14:formula1>
          <xm:sqref>I4:I100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3760-D225-4CD2-8795-4C267A052E72}">
  <sheetPr codeName="Sheet2"/>
  <dimension ref="A1:L60"/>
  <sheetViews>
    <sheetView workbookViewId="0">
      <selection activeCell="A6" sqref="A6"/>
    </sheetView>
  </sheetViews>
  <sheetFormatPr defaultRowHeight="15" x14ac:dyDescent="0.25"/>
  <cols>
    <col min="1" max="1" width="18" bestFit="1" customWidth="1"/>
    <col min="2" max="2" width="31.7109375" bestFit="1" customWidth="1"/>
    <col min="3" max="3" width="24.5703125" bestFit="1" customWidth="1"/>
    <col min="5" max="5" width="21.42578125" bestFit="1" customWidth="1"/>
    <col min="6" max="6" width="23.140625" bestFit="1" customWidth="1"/>
    <col min="7" max="7" width="19" bestFit="1" customWidth="1"/>
    <col min="8" max="8" width="32.42578125" bestFit="1" customWidth="1"/>
    <col min="10" max="10" width="18.5703125" bestFit="1" customWidth="1"/>
    <col min="11" max="11" width="31.7109375" bestFit="1" customWidth="1"/>
    <col min="12" max="12" width="23.140625" bestFit="1" customWidth="1"/>
  </cols>
  <sheetData>
    <row r="1" spans="1:12" x14ac:dyDescent="0.25">
      <c r="A1" s="5" t="s">
        <v>95</v>
      </c>
      <c r="B1" t="s">
        <v>87</v>
      </c>
      <c r="C1" t="s">
        <v>89</v>
      </c>
      <c r="E1" s="5" t="s">
        <v>94</v>
      </c>
      <c r="F1" t="s">
        <v>88</v>
      </c>
      <c r="G1" t="s">
        <v>90</v>
      </c>
      <c r="H1" t="s">
        <v>91</v>
      </c>
      <c r="J1" s="5" t="s">
        <v>93</v>
      </c>
      <c r="K1" t="s">
        <v>87</v>
      </c>
      <c r="L1" t="s">
        <v>88</v>
      </c>
    </row>
    <row r="2" spans="1:12" x14ac:dyDescent="0.25">
      <c r="A2" s="8" t="s">
        <v>92</v>
      </c>
      <c r="B2" s="6">
        <v>55.710399999999993</v>
      </c>
      <c r="C2" s="6">
        <v>3</v>
      </c>
      <c r="E2" s="8" t="s">
        <v>97</v>
      </c>
      <c r="F2" s="6">
        <v>120</v>
      </c>
      <c r="G2" s="6">
        <v>750</v>
      </c>
      <c r="H2" s="6">
        <v>148.4</v>
      </c>
      <c r="J2" s="8" t="s">
        <v>92</v>
      </c>
      <c r="K2" s="3">
        <v>55.7104</v>
      </c>
      <c r="L2" s="6">
        <v>300</v>
      </c>
    </row>
    <row r="3" spans="1:12" x14ac:dyDescent="0.25">
      <c r="A3" s="8" t="s">
        <v>19</v>
      </c>
      <c r="B3" s="6">
        <v>18.2988</v>
      </c>
      <c r="C3" s="6">
        <v>2</v>
      </c>
      <c r="E3" s="8" t="s">
        <v>98</v>
      </c>
      <c r="F3" s="6">
        <v>360</v>
      </c>
      <c r="G3" s="6">
        <v>750</v>
      </c>
      <c r="H3" s="6">
        <v>112.36</v>
      </c>
      <c r="J3" s="9" t="s">
        <v>97</v>
      </c>
      <c r="K3" s="3">
        <v>25.744</v>
      </c>
      <c r="L3" s="6">
        <v>120</v>
      </c>
    </row>
    <row r="4" spans="1:12" x14ac:dyDescent="0.25">
      <c r="A4" s="8" t="s">
        <v>67</v>
      </c>
      <c r="B4" s="6">
        <v>19.977599999999999</v>
      </c>
      <c r="C4" s="6">
        <v>1</v>
      </c>
      <c r="E4" s="8" t="s">
        <v>99</v>
      </c>
      <c r="F4" s="6">
        <v>60</v>
      </c>
      <c r="G4" s="6">
        <v>750</v>
      </c>
      <c r="H4" s="6">
        <v>91.375</v>
      </c>
      <c r="J4" s="9" t="s">
        <v>98</v>
      </c>
      <c r="K4" s="3">
        <v>29.9664</v>
      </c>
      <c r="L4" s="6">
        <v>180</v>
      </c>
    </row>
    <row r="5" spans="1:12" x14ac:dyDescent="0.25">
      <c r="J5" s="8" t="s">
        <v>19</v>
      </c>
      <c r="K5" s="3">
        <v>18.2988</v>
      </c>
      <c r="L5" s="6">
        <v>120</v>
      </c>
    </row>
    <row r="6" spans="1:12" x14ac:dyDescent="0.25">
      <c r="J6" s="9" t="s">
        <v>98</v>
      </c>
      <c r="K6" s="3">
        <v>9.9887999999999995</v>
      </c>
      <c r="L6" s="6">
        <v>60</v>
      </c>
    </row>
    <row r="7" spans="1:12" x14ac:dyDescent="0.25">
      <c r="J7" s="9" t="s">
        <v>99</v>
      </c>
      <c r="K7" s="3">
        <v>8.31</v>
      </c>
      <c r="L7" s="6">
        <v>60</v>
      </c>
    </row>
    <row r="8" spans="1:12" x14ac:dyDescent="0.25">
      <c r="J8" s="8" t="s">
        <v>67</v>
      </c>
      <c r="K8" s="3">
        <v>19.977599999999999</v>
      </c>
      <c r="L8" s="6">
        <v>120</v>
      </c>
    </row>
    <row r="9" spans="1:12" x14ac:dyDescent="0.25">
      <c r="J9" s="9" t="s">
        <v>98</v>
      </c>
      <c r="K9" s="3">
        <v>19.977599999999999</v>
      </c>
      <c r="L9" s="6">
        <v>120</v>
      </c>
    </row>
    <row r="11" spans="1:12" x14ac:dyDescent="0.25">
      <c r="K11" s="3"/>
      <c r="L11" s="6"/>
    </row>
    <row r="12" spans="1:12" x14ac:dyDescent="0.25">
      <c r="K12" s="3"/>
      <c r="L12" s="6"/>
    </row>
    <row r="13" spans="1:12" x14ac:dyDescent="0.25">
      <c r="K13" s="3"/>
      <c r="L13" s="6"/>
    </row>
    <row r="14" spans="1:12" x14ac:dyDescent="0.25">
      <c r="K14" s="3"/>
      <c r="L14" s="6"/>
    </row>
    <row r="15" spans="1:12" x14ac:dyDescent="0.25">
      <c r="K15" s="3"/>
      <c r="L15" s="6"/>
    </row>
    <row r="16" spans="1:12" x14ac:dyDescent="0.25">
      <c r="K16" s="3"/>
      <c r="L16" s="6"/>
    </row>
    <row r="17" spans="11:12" x14ac:dyDescent="0.25">
      <c r="K17" s="3"/>
      <c r="L17" s="6"/>
    </row>
    <row r="18" spans="11:12" x14ac:dyDescent="0.25">
      <c r="K18" s="3"/>
      <c r="L18" s="6"/>
    </row>
    <row r="19" spans="11:12" x14ac:dyDescent="0.25">
      <c r="K19" s="3"/>
      <c r="L19" s="6"/>
    </row>
    <row r="20" spans="11:12" x14ac:dyDescent="0.25">
      <c r="K20" s="3"/>
      <c r="L20" s="6"/>
    </row>
    <row r="21" spans="11:12" x14ac:dyDescent="0.25">
      <c r="K21" s="3"/>
      <c r="L21" s="6"/>
    </row>
    <row r="22" spans="11:12" x14ac:dyDescent="0.25">
      <c r="K22" s="3"/>
      <c r="L22" s="6"/>
    </row>
    <row r="23" spans="11:12" x14ac:dyDescent="0.25">
      <c r="K23" s="3"/>
      <c r="L23" s="6"/>
    </row>
    <row r="24" spans="11:12" x14ac:dyDescent="0.25">
      <c r="K24" s="3"/>
      <c r="L24" s="6"/>
    </row>
    <row r="25" spans="11:12" x14ac:dyDescent="0.25">
      <c r="K25" s="3"/>
      <c r="L25" s="6"/>
    </row>
    <row r="26" spans="11:12" x14ac:dyDescent="0.25">
      <c r="K26" s="3"/>
      <c r="L26" s="6"/>
    </row>
    <row r="27" spans="11:12" x14ac:dyDescent="0.25">
      <c r="K27" s="3"/>
      <c r="L27" s="6"/>
    </row>
    <row r="28" spans="11:12" x14ac:dyDescent="0.25">
      <c r="K28" s="3"/>
      <c r="L28" s="6"/>
    </row>
    <row r="29" spans="11:12" x14ac:dyDescent="0.25">
      <c r="K29" s="3"/>
      <c r="L29" s="6"/>
    </row>
    <row r="30" spans="11:12" x14ac:dyDescent="0.25">
      <c r="K30" s="3"/>
      <c r="L30" s="6"/>
    </row>
    <row r="31" spans="11:12" x14ac:dyDescent="0.25">
      <c r="K31" s="3"/>
      <c r="L31" s="6"/>
    </row>
    <row r="32" spans="11:12" x14ac:dyDescent="0.25">
      <c r="K32" s="3"/>
      <c r="L32" s="6"/>
    </row>
    <row r="33" spans="11:12" x14ac:dyDescent="0.25">
      <c r="K33" s="3"/>
      <c r="L33" s="6"/>
    </row>
    <row r="34" spans="11:12" x14ac:dyDescent="0.25">
      <c r="K34" s="3"/>
      <c r="L34" s="6"/>
    </row>
    <row r="35" spans="11:12" x14ac:dyDescent="0.25">
      <c r="K35" s="3"/>
      <c r="L35" s="6"/>
    </row>
    <row r="36" spans="11:12" x14ac:dyDescent="0.25">
      <c r="K36" s="3"/>
      <c r="L36" s="6"/>
    </row>
    <row r="37" spans="11:12" x14ac:dyDescent="0.25">
      <c r="K37" s="3"/>
      <c r="L37" s="6"/>
    </row>
    <row r="38" spans="11:12" x14ac:dyDescent="0.25">
      <c r="K38" s="3"/>
      <c r="L38" s="6"/>
    </row>
    <row r="39" spans="11:12" x14ac:dyDescent="0.25">
      <c r="K39" s="3"/>
      <c r="L39" s="6"/>
    </row>
    <row r="40" spans="11:12" x14ac:dyDescent="0.25">
      <c r="K40" s="3"/>
      <c r="L40" s="6"/>
    </row>
    <row r="41" spans="11:12" x14ac:dyDescent="0.25">
      <c r="K41" s="3"/>
      <c r="L41" s="6"/>
    </row>
    <row r="42" spans="11:12" x14ac:dyDescent="0.25">
      <c r="K42" s="3"/>
      <c r="L42" s="6"/>
    </row>
    <row r="43" spans="11:12" x14ac:dyDescent="0.25">
      <c r="K43" s="3"/>
      <c r="L43" s="6"/>
    </row>
    <row r="44" spans="11:12" x14ac:dyDescent="0.25">
      <c r="K44" s="3"/>
      <c r="L44" s="6"/>
    </row>
    <row r="45" spans="11:12" x14ac:dyDescent="0.25">
      <c r="K45" s="3"/>
      <c r="L45" s="6"/>
    </row>
    <row r="46" spans="11:12" x14ac:dyDescent="0.25">
      <c r="K46" s="3"/>
      <c r="L46" s="6"/>
    </row>
    <row r="47" spans="11:12" x14ac:dyDescent="0.25">
      <c r="K47" s="3"/>
      <c r="L47" s="6"/>
    </row>
    <row r="48" spans="11:12" x14ac:dyDescent="0.25">
      <c r="K48" s="3"/>
      <c r="L48" s="6"/>
    </row>
    <row r="49" spans="11:12" x14ac:dyDescent="0.25">
      <c r="K49" s="3"/>
      <c r="L49" s="6"/>
    </row>
    <row r="50" spans="11:12" x14ac:dyDescent="0.25">
      <c r="K50" s="3"/>
      <c r="L50" s="6"/>
    </row>
    <row r="51" spans="11:12" x14ac:dyDescent="0.25">
      <c r="K51" s="3"/>
      <c r="L51" s="6"/>
    </row>
    <row r="52" spans="11:12" x14ac:dyDescent="0.25">
      <c r="K52" s="3"/>
      <c r="L52" s="6"/>
    </row>
    <row r="53" spans="11:12" x14ac:dyDescent="0.25">
      <c r="K53" s="3"/>
      <c r="L53" s="6"/>
    </row>
    <row r="54" spans="11:12" x14ac:dyDescent="0.25">
      <c r="K54" s="3"/>
      <c r="L54" s="6"/>
    </row>
    <row r="55" spans="11:12" x14ac:dyDescent="0.25">
      <c r="K55" s="3"/>
      <c r="L55" s="6"/>
    </row>
    <row r="56" spans="11:12" x14ac:dyDescent="0.25">
      <c r="K56" s="3"/>
      <c r="L56" s="6"/>
    </row>
    <row r="57" spans="11:12" x14ac:dyDescent="0.25">
      <c r="K57" s="3"/>
      <c r="L57" s="6"/>
    </row>
    <row r="58" spans="11:12" x14ac:dyDescent="0.25">
      <c r="K58" s="3"/>
      <c r="L58" s="6"/>
    </row>
    <row r="59" spans="11:12" x14ac:dyDescent="0.25">
      <c r="K59" s="3"/>
      <c r="L59" s="6"/>
    </row>
    <row r="60" spans="11:12" x14ac:dyDescent="0.25">
      <c r="K6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F0CEB-FF62-40A5-8302-639A10D75D08}">
  <sheetPr codeName="Sheet3"/>
  <dimension ref="A1:K118"/>
  <sheetViews>
    <sheetView workbookViewId="0">
      <selection activeCell="A9" sqref="A9"/>
    </sheetView>
  </sheetViews>
  <sheetFormatPr defaultRowHeight="15" x14ac:dyDescent="0.25"/>
  <cols>
    <col min="1" max="1" width="25.42578125" customWidth="1"/>
    <col min="5" max="5" width="10" customWidth="1"/>
    <col min="7" max="7" width="25.7109375" customWidth="1"/>
    <col min="9" max="9" width="13.7109375" customWidth="1"/>
    <col min="11" max="11" width="11.42578125" customWidth="1"/>
  </cols>
  <sheetData>
    <row r="1" spans="1:11" x14ac:dyDescent="0.25">
      <c r="A1" t="s">
        <v>0</v>
      </c>
      <c r="C1" t="s">
        <v>1</v>
      </c>
      <c r="E1" t="s">
        <v>2</v>
      </c>
      <c r="G1" t="s">
        <v>3</v>
      </c>
      <c r="I1" t="s">
        <v>4</v>
      </c>
      <c r="K1" s="1" t="s">
        <v>5</v>
      </c>
    </row>
    <row r="2" spans="1:11" x14ac:dyDescent="0.25">
      <c r="A2" t="s">
        <v>6</v>
      </c>
      <c r="C2">
        <v>50</v>
      </c>
      <c r="E2">
        <v>1970</v>
      </c>
      <c r="G2" t="s">
        <v>7</v>
      </c>
      <c r="I2">
        <v>30</v>
      </c>
      <c r="K2" s="1">
        <v>0</v>
      </c>
    </row>
    <row r="3" spans="1:11" x14ac:dyDescent="0.25">
      <c r="A3" t="s">
        <v>8</v>
      </c>
      <c r="C3">
        <v>100</v>
      </c>
      <c r="E3">
        <v>1971</v>
      </c>
      <c r="G3" t="s">
        <v>9</v>
      </c>
      <c r="I3">
        <v>60</v>
      </c>
      <c r="K3" s="1">
        <v>0.04</v>
      </c>
    </row>
    <row r="4" spans="1:11" x14ac:dyDescent="0.25">
      <c r="A4" t="s">
        <v>10</v>
      </c>
      <c r="C4">
        <v>200</v>
      </c>
      <c r="E4">
        <v>1972</v>
      </c>
      <c r="G4" t="s">
        <v>11</v>
      </c>
      <c r="I4">
        <v>90</v>
      </c>
      <c r="K4" s="1">
        <v>4.1000000000000002E-2</v>
      </c>
    </row>
    <row r="5" spans="1:11" x14ac:dyDescent="0.25">
      <c r="A5" t="s">
        <v>12</v>
      </c>
      <c r="C5">
        <v>375</v>
      </c>
      <c r="E5">
        <v>1973</v>
      </c>
      <c r="G5" t="s">
        <v>13</v>
      </c>
      <c r="I5">
        <v>120</v>
      </c>
      <c r="K5" s="1">
        <v>4.2000000000000003E-2</v>
      </c>
    </row>
    <row r="6" spans="1:11" x14ac:dyDescent="0.25">
      <c r="A6" t="s">
        <v>14</v>
      </c>
      <c r="C6">
        <v>700</v>
      </c>
      <c r="E6">
        <v>1974</v>
      </c>
      <c r="G6" t="s">
        <v>15</v>
      </c>
      <c r="I6">
        <v>200</v>
      </c>
      <c r="K6" s="1">
        <v>4.2999999999999997E-2</v>
      </c>
    </row>
    <row r="7" spans="1:11" x14ac:dyDescent="0.25">
      <c r="A7" t="s">
        <v>16</v>
      </c>
      <c r="C7">
        <v>750</v>
      </c>
      <c r="E7">
        <v>1975</v>
      </c>
      <c r="G7" t="s">
        <v>17</v>
      </c>
      <c r="K7" s="1">
        <v>4.3999999999999997E-2</v>
      </c>
    </row>
    <row r="8" spans="1:11" x14ac:dyDescent="0.25">
      <c r="A8" t="s">
        <v>18</v>
      </c>
      <c r="C8">
        <v>1000</v>
      </c>
      <c r="E8">
        <v>1976</v>
      </c>
      <c r="G8" t="s">
        <v>19</v>
      </c>
      <c r="K8" s="1">
        <v>4.4999999999999998E-2</v>
      </c>
    </row>
    <row r="9" spans="1:11" x14ac:dyDescent="0.25">
      <c r="A9" t="s">
        <v>20</v>
      </c>
      <c r="C9">
        <v>1750</v>
      </c>
      <c r="E9">
        <v>1977</v>
      </c>
      <c r="G9" t="s">
        <v>21</v>
      </c>
      <c r="K9" s="1">
        <v>4.5999999999999999E-2</v>
      </c>
    </row>
    <row r="10" spans="1:11" x14ac:dyDescent="0.25">
      <c r="A10" t="s">
        <v>22</v>
      </c>
      <c r="E10">
        <v>1978</v>
      </c>
      <c r="G10" t="s">
        <v>23</v>
      </c>
      <c r="K10" s="1">
        <v>4.7E-2</v>
      </c>
    </row>
    <row r="11" spans="1:11" x14ac:dyDescent="0.25">
      <c r="A11" t="s">
        <v>24</v>
      </c>
      <c r="E11">
        <v>1979</v>
      </c>
      <c r="G11" t="s">
        <v>25</v>
      </c>
      <c r="K11" s="1">
        <v>4.8000000000000001E-2</v>
      </c>
    </row>
    <row r="12" spans="1:11" x14ac:dyDescent="0.25">
      <c r="A12" t="s">
        <v>26</v>
      </c>
      <c r="E12">
        <v>1980</v>
      </c>
      <c r="G12" t="s">
        <v>27</v>
      </c>
      <c r="K12" s="1">
        <v>4.9000000000000002E-2</v>
      </c>
    </row>
    <row r="13" spans="1:11" x14ac:dyDescent="0.25">
      <c r="A13" t="s">
        <v>28</v>
      </c>
      <c r="E13">
        <v>1981</v>
      </c>
      <c r="G13" t="s">
        <v>29</v>
      </c>
      <c r="K13" s="1">
        <v>0.05</v>
      </c>
    </row>
    <row r="14" spans="1:11" x14ac:dyDescent="0.25">
      <c r="A14" t="s">
        <v>30</v>
      </c>
      <c r="E14">
        <v>1982</v>
      </c>
      <c r="G14" t="s">
        <v>31</v>
      </c>
      <c r="K14" s="1">
        <v>5.0999999999999997E-2</v>
      </c>
    </row>
    <row r="15" spans="1:11" x14ac:dyDescent="0.25">
      <c r="A15" t="s">
        <v>32</v>
      </c>
      <c r="E15">
        <v>1983</v>
      </c>
      <c r="G15" t="s">
        <v>33</v>
      </c>
      <c r="K15" s="1">
        <v>5.1999999999999998E-2</v>
      </c>
    </row>
    <row r="16" spans="1:11" x14ac:dyDescent="0.25">
      <c r="A16" t="s">
        <v>34</v>
      </c>
      <c r="E16">
        <v>1984</v>
      </c>
      <c r="G16" t="s">
        <v>35</v>
      </c>
      <c r="K16" s="1">
        <v>5.2999999999999999E-2</v>
      </c>
    </row>
    <row r="17" spans="1:11" x14ac:dyDescent="0.25">
      <c r="A17" t="s">
        <v>36</v>
      </c>
      <c r="E17">
        <v>1985</v>
      </c>
      <c r="G17" t="s">
        <v>37</v>
      </c>
      <c r="K17" s="1">
        <v>5.3999999999999999E-2</v>
      </c>
    </row>
    <row r="18" spans="1:11" x14ac:dyDescent="0.25">
      <c r="A18" t="s">
        <v>38</v>
      </c>
      <c r="E18">
        <v>1986</v>
      </c>
      <c r="G18" t="s">
        <v>39</v>
      </c>
      <c r="K18" s="1">
        <v>5.5E-2</v>
      </c>
    </row>
    <row r="19" spans="1:11" x14ac:dyDescent="0.25">
      <c r="A19" t="s">
        <v>40</v>
      </c>
      <c r="E19">
        <v>1987</v>
      </c>
      <c r="G19" t="s">
        <v>41</v>
      </c>
      <c r="K19" s="1">
        <v>5.6000000000000001E-2</v>
      </c>
    </row>
    <row r="20" spans="1:11" x14ac:dyDescent="0.25">
      <c r="A20" t="s">
        <v>42</v>
      </c>
      <c r="E20">
        <v>1988</v>
      </c>
      <c r="G20" t="s">
        <v>43</v>
      </c>
      <c r="K20" s="1">
        <v>5.7000000000000002E-2</v>
      </c>
    </row>
    <row r="21" spans="1:11" x14ac:dyDescent="0.25">
      <c r="A21" t="s">
        <v>44</v>
      </c>
      <c r="E21">
        <v>1989</v>
      </c>
      <c r="G21" t="s">
        <v>45</v>
      </c>
      <c r="K21" s="1">
        <v>5.8000000000000003E-2</v>
      </c>
    </row>
    <row r="22" spans="1:11" x14ac:dyDescent="0.25">
      <c r="A22" t="s">
        <v>46</v>
      </c>
      <c r="E22">
        <v>1990</v>
      </c>
      <c r="G22" t="s">
        <v>47</v>
      </c>
      <c r="K22" s="1">
        <v>5.8999999999999997E-2</v>
      </c>
    </row>
    <row r="23" spans="1:11" x14ac:dyDescent="0.25">
      <c r="A23" t="s">
        <v>48</v>
      </c>
      <c r="E23">
        <v>1991</v>
      </c>
      <c r="G23" t="s">
        <v>49</v>
      </c>
      <c r="K23" s="1">
        <v>0.06</v>
      </c>
    </row>
    <row r="24" spans="1:11" x14ac:dyDescent="0.25">
      <c r="A24" t="s">
        <v>50</v>
      </c>
      <c r="E24">
        <v>1992</v>
      </c>
      <c r="G24" t="s">
        <v>51</v>
      </c>
      <c r="K24" s="1">
        <v>6.0999999999999999E-2</v>
      </c>
    </row>
    <row r="25" spans="1:11" x14ac:dyDescent="0.25">
      <c r="E25">
        <v>1993</v>
      </c>
      <c r="G25" t="s">
        <v>52</v>
      </c>
      <c r="K25" s="1">
        <v>6.2E-2</v>
      </c>
    </row>
    <row r="26" spans="1:11" x14ac:dyDescent="0.25">
      <c r="E26">
        <v>1994</v>
      </c>
      <c r="G26" t="s">
        <v>53</v>
      </c>
      <c r="K26" s="1">
        <v>6.25E-2</v>
      </c>
    </row>
    <row r="27" spans="1:11" x14ac:dyDescent="0.25">
      <c r="E27">
        <v>1995</v>
      </c>
      <c r="G27" t="s">
        <v>54</v>
      </c>
      <c r="K27" s="1">
        <v>6.3E-2</v>
      </c>
    </row>
    <row r="28" spans="1:11" x14ac:dyDescent="0.25">
      <c r="E28">
        <v>1996</v>
      </c>
      <c r="G28" t="s">
        <v>55</v>
      </c>
      <c r="K28" s="1">
        <v>6.4000000000000001E-2</v>
      </c>
    </row>
    <row r="29" spans="1:11" x14ac:dyDescent="0.25">
      <c r="E29">
        <v>1997</v>
      </c>
      <c r="G29" t="s">
        <v>56</v>
      </c>
      <c r="K29" s="1">
        <v>6.5000000000000002E-2</v>
      </c>
    </row>
    <row r="30" spans="1:11" x14ac:dyDescent="0.25">
      <c r="E30">
        <v>1998</v>
      </c>
      <c r="G30" t="s">
        <v>57</v>
      </c>
      <c r="K30" s="1">
        <v>6.6000000000000003E-2</v>
      </c>
    </row>
    <row r="31" spans="1:11" x14ac:dyDescent="0.25">
      <c r="E31">
        <v>1999</v>
      </c>
      <c r="G31" t="s">
        <v>58</v>
      </c>
      <c r="K31" s="1">
        <v>6.7000000000000004E-2</v>
      </c>
    </row>
    <row r="32" spans="1:11" x14ac:dyDescent="0.25">
      <c r="E32">
        <v>2000</v>
      </c>
      <c r="G32" t="s">
        <v>59</v>
      </c>
      <c r="K32" s="1">
        <v>6.7500000000000004E-2</v>
      </c>
    </row>
    <row r="33" spans="5:11" x14ac:dyDescent="0.25">
      <c r="E33">
        <v>2001</v>
      </c>
      <c r="G33" t="s">
        <v>60</v>
      </c>
      <c r="K33" s="1">
        <v>6.8000000000000005E-2</v>
      </c>
    </row>
    <row r="34" spans="5:11" x14ac:dyDescent="0.25">
      <c r="E34">
        <v>2002</v>
      </c>
      <c r="G34" t="s">
        <v>61</v>
      </c>
      <c r="K34" s="1">
        <v>6.9000000000000006E-2</v>
      </c>
    </row>
    <row r="35" spans="5:11" x14ac:dyDescent="0.25">
      <c r="E35">
        <v>2003</v>
      </c>
      <c r="G35" t="s">
        <v>62</v>
      </c>
      <c r="K35" s="1">
        <v>7.0000000000000007E-2</v>
      </c>
    </row>
    <row r="36" spans="5:11" x14ac:dyDescent="0.25">
      <c r="E36">
        <v>2004</v>
      </c>
      <c r="G36" t="s">
        <v>63</v>
      </c>
      <c r="K36" s="1">
        <v>7.0999999999999994E-2</v>
      </c>
    </row>
    <row r="37" spans="5:11" x14ac:dyDescent="0.25">
      <c r="E37">
        <v>2005</v>
      </c>
      <c r="G37" t="s">
        <v>64</v>
      </c>
      <c r="K37" s="1">
        <v>7.1999999999999995E-2</v>
      </c>
    </row>
    <row r="38" spans="5:11" x14ac:dyDescent="0.25">
      <c r="E38">
        <v>2006</v>
      </c>
      <c r="G38" t="s">
        <v>65</v>
      </c>
      <c r="K38" s="1">
        <v>7.2499999999999995E-2</v>
      </c>
    </row>
    <row r="39" spans="5:11" x14ac:dyDescent="0.25">
      <c r="E39">
        <v>2007</v>
      </c>
      <c r="G39" t="s">
        <v>66</v>
      </c>
      <c r="K39" s="1">
        <v>7.2999999999999995E-2</v>
      </c>
    </row>
    <row r="40" spans="5:11" x14ac:dyDescent="0.25">
      <c r="E40">
        <v>2008</v>
      </c>
      <c r="G40" t="s">
        <v>67</v>
      </c>
      <c r="K40" s="1">
        <v>7.3999999999999996E-2</v>
      </c>
    </row>
    <row r="41" spans="5:11" x14ac:dyDescent="0.25">
      <c r="E41">
        <v>2009</v>
      </c>
      <c r="K41" s="1">
        <v>7.4999999999999997E-2</v>
      </c>
    </row>
    <row r="42" spans="5:11" x14ac:dyDescent="0.25">
      <c r="E42">
        <v>2010</v>
      </c>
      <c r="K42" s="1">
        <v>7.5999999999999998E-2</v>
      </c>
    </row>
    <row r="43" spans="5:11" x14ac:dyDescent="0.25">
      <c r="E43">
        <v>2011</v>
      </c>
      <c r="K43" s="1">
        <v>7.6999999999999999E-2</v>
      </c>
    </row>
    <row r="44" spans="5:11" x14ac:dyDescent="0.25">
      <c r="E44">
        <v>2012</v>
      </c>
      <c r="K44" s="1">
        <v>7.7499999999999999E-2</v>
      </c>
    </row>
    <row r="45" spans="5:11" x14ac:dyDescent="0.25">
      <c r="E45">
        <v>2013</v>
      </c>
      <c r="K45" s="1">
        <v>7.8E-2</v>
      </c>
    </row>
    <row r="46" spans="5:11" x14ac:dyDescent="0.25">
      <c r="E46">
        <v>2014</v>
      </c>
      <c r="K46" s="1">
        <v>7.9000000000000001E-2</v>
      </c>
    </row>
    <row r="47" spans="5:11" x14ac:dyDescent="0.25">
      <c r="E47">
        <v>2015</v>
      </c>
      <c r="K47" s="1">
        <v>0.08</v>
      </c>
    </row>
    <row r="48" spans="5:11" x14ac:dyDescent="0.25">
      <c r="E48">
        <v>2016</v>
      </c>
      <c r="K48" s="1">
        <v>8.1000000000000003E-2</v>
      </c>
    </row>
    <row r="49" spans="5:11" x14ac:dyDescent="0.25">
      <c r="E49">
        <v>2017</v>
      </c>
      <c r="K49" s="1">
        <v>8.2000000000000003E-2</v>
      </c>
    </row>
    <row r="50" spans="5:11" x14ac:dyDescent="0.25">
      <c r="E50">
        <v>2018</v>
      </c>
      <c r="K50" s="1">
        <v>8.2500000000000004E-2</v>
      </c>
    </row>
    <row r="51" spans="5:11" x14ac:dyDescent="0.25">
      <c r="E51">
        <v>2019</v>
      </c>
      <c r="K51" s="1">
        <v>8.3000000000000004E-2</v>
      </c>
    </row>
    <row r="52" spans="5:11" x14ac:dyDescent="0.25">
      <c r="E52">
        <v>2020</v>
      </c>
      <c r="K52" s="1">
        <v>8.4000000000000005E-2</v>
      </c>
    </row>
    <row r="53" spans="5:11" x14ac:dyDescent="0.25">
      <c r="E53">
        <v>2021</v>
      </c>
      <c r="K53" s="1">
        <v>8.5000000000000006E-2</v>
      </c>
    </row>
    <row r="54" spans="5:11" x14ac:dyDescent="0.25">
      <c r="E54">
        <v>2022</v>
      </c>
      <c r="K54" s="1">
        <v>8.5999999999999993E-2</v>
      </c>
    </row>
    <row r="55" spans="5:11" x14ac:dyDescent="0.25">
      <c r="E55">
        <v>2023</v>
      </c>
      <c r="K55" s="1">
        <v>8.6999999999999994E-2</v>
      </c>
    </row>
    <row r="56" spans="5:11" x14ac:dyDescent="0.25">
      <c r="E56">
        <v>2024</v>
      </c>
      <c r="K56" s="1">
        <v>8.7499999999999994E-2</v>
      </c>
    </row>
    <row r="57" spans="5:11" x14ac:dyDescent="0.25">
      <c r="E57">
        <v>2025</v>
      </c>
      <c r="K57" s="1">
        <v>8.7999999999999995E-2</v>
      </c>
    </row>
    <row r="58" spans="5:11" x14ac:dyDescent="0.25">
      <c r="K58" s="1">
        <v>8.8999999999999996E-2</v>
      </c>
    </row>
    <row r="59" spans="5:11" x14ac:dyDescent="0.25">
      <c r="K59" s="1">
        <v>0.09</v>
      </c>
    </row>
    <row r="60" spans="5:11" x14ac:dyDescent="0.25">
      <c r="K60" s="1">
        <v>9.0999999999999998E-2</v>
      </c>
    </row>
    <row r="61" spans="5:11" x14ac:dyDescent="0.25">
      <c r="K61" s="1">
        <v>9.1999999999999998E-2</v>
      </c>
    </row>
    <row r="62" spans="5:11" x14ac:dyDescent="0.25">
      <c r="K62" s="1">
        <v>9.2499999999999999E-2</v>
      </c>
    </row>
    <row r="63" spans="5:11" x14ac:dyDescent="0.25">
      <c r="K63" s="1">
        <v>9.2999999999999999E-2</v>
      </c>
    </row>
    <row r="64" spans="5:11" x14ac:dyDescent="0.25">
      <c r="K64" s="1">
        <v>9.4E-2</v>
      </c>
    </row>
    <row r="65" spans="11:11" x14ac:dyDescent="0.25">
      <c r="K65" s="1">
        <v>9.5000000000000001E-2</v>
      </c>
    </row>
    <row r="66" spans="11:11" x14ac:dyDescent="0.25">
      <c r="K66" s="1">
        <v>9.6000000000000002E-2</v>
      </c>
    </row>
    <row r="67" spans="11:11" x14ac:dyDescent="0.25">
      <c r="K67" s="1">
        <v>9.70000000000001E-2</v>
      </c>
    </row>
    <row r="68" spans="11:11" x14ac:dyDescent="0.25">
      <c r="K68" s="1">
        <v>9.7500000000000003E-2</v>
      </c>
    </row>
    <row r="69" spans="11:11" x14ac:dyDescent="0.25">
      <c r="K69" s="1">
        <v>9.8000000000000101E-2</v>
      </c>
    </row>
    <row r="70" spans="11:11" x14ac:dyDescent="0.25">
      <c r="K70" s="1">
        <v>9.9000000000000102E-2</v>
      </c>
    </row>
    <row r="71" spans="11:11" x14ac:dyDescent="0.25">
      <c r="K71" s="1">
        <v>0.1</v>
      </c>
    </row>
    <row r="72" spans="11:11" x14ac:dyDescent="0.25">
      <c r="K72" s="1">
        <v>0.10100000000000001</v>
      </c>
    </row>
    <row r="73" spans="11:11" x14ac:dyDescent="0.25">
      <c r="K73" s="1">
        <v>0.10199999999999999</v>
      </c>
    </row>
    <row r="74" spans="11:11" x14ac:dyDescent="0.25">
      <c r="K74" s="1">
        <v>0.10249999999999999</v>
      </c>
    </row>
    <row r="75" spans="11:11" x14ac:dyDescent="0.25">
      <c r="K75" s="1">
        <v>0.10299999999999999</v>
      </c>
    </row>
    <row r="76" spans="11:11" x14ac:dyDescent="0.25">
      <c r="K76" s="1">
        <v>0.104</v>
      </c>
    </row>
    <row r="77" spans="11:11" x14ac:dyDescent="0.25">
      <c r="K77" s="1">
        <v>0.105</v>
      </c>
    </row>
    <row r="78" spans="11:11" x14ac:dyDescent="0.25">
      <c r="K78" s="1">
        <v>0.106</v>
      </c>
    </row>
    <row r="79" spans="11:11" x14ac:dyDescent="0.25">
      <c r="K79" s="1">
        <v>0.107</v>
      </c>
    </row>
    <row r="80" spans="11:11" x14ac:dyDescent="0.25">
      <c r="K80" s="1">
        <v>0.1075</v>
      </c>
    </row>
    <row r="81" spans="11:11" x14ac:dyDescent="0.25">
      <c r="K81" s="1">
        <v>0.108</v>
      </c>
    </row>
    <row r="82" spans="11:11" x14ac:dyDescent="0.25">
      <c r="K82" s="1">
        <v>0.109</v>
      </c>
    </row>
    <row r="83" spans="11:11" x14ac:dyDescent="0.25">
      <c r="K83" s="1">
        <v>0.11</v>
      </c>
    </row>
    <row r="84" spans="11:11" x14ac:dyDescent="0.25">
      <c r="K84" s="1">
        <v>0.111</v>
      </c>
    </row>
    <row r="85" spans="11:11" x14ac:dyDescent="0.25">
      <c r="K85" s="1">
        <v>0.112</v>
      </c>
    </row>
    <row r="86" spans="11:11" x14ac:dyDescent="0.25">
      <c r="K86" s="1">
        <v>0.1125</v>
      </c>
    </row>
    <row r="87" spans="11:11" x14ac:dyDescent="0.25">
      <c r="K87" s="1">
        <v>0.113</v>
      </c>
    </row>
    <row r="88" spans="11:11" x14ac:dyDescent="0.25">
      <c r="K88" s="1">
        <v>0.114</v>
      </c>
    </row>
    <row r="89" spans="11:11" x14ac:dyDescent="0.25">
      <c r="K89" s="1">
        <v>0.115</v>
      </c>
    </row>
    <row r="90" spans="11:11" x14ac:dyDescent="0.25">
      <c r="K90" s="1">
        <v>0.11600000000000001</v>
      </c>
    </row>
    <row r="91" spans="11:11" x14ac:dyDescent="0.25">
      <c r="K91" s="1">
        <v>0.11700000000000001</v>
      </c>
    </row>
    <row r="92" spans="11:11" x14ac:dyDescent="0.25">
      <c r="K92" s="1">
        <v>0.11749999999999999</v>
      </c>
    </row>
    <row r="93" spans="11:11" x14ac:dyDescent="0.25">
      <c r="K93" s="1">
        <v>0.11799999999999999</v>
      </c>
    </row>
    <row r="94" spans="11:11" x14ac:dyDescent="0.25">
      <c r="K94" s="1">
        <v>0.11899999999999999</v>
      </c>
    </row>
    <row r="95" spans="11:11" x14ac:dyDescent="0.25">
      <c r="K95" s="1">
        <v>0.12</v>
      </c>
    </row>
    <row r="96" spans="11:11" x14ac:dyDescent="0.25">
      <c r="K96" s="1">
        <v>0.121</v>
      </c>
    </row>
    <row r="97" spans="11:11" x14ac:dyDescent="0.25">
      <c r="K97" s="1">
        <v>0.122</v>
      </c>
    </row>
    <row r="98" spans="11:11" x14ac:dyDescent="0.25">
      <c r="K98" s="1">
        <v>0.123</v>
      </c>
    </row>
    <row r="99" spans="11:11" x14ac:dyDescent="0.25">
      <c r="K99" s="1">
        <v>0.124</v>
      </c>
    </row>
    <row r="100" spans="11:11" x14ac:dyDescent="0.25">
      <c r="K100" s="1">
        <v>0.125</v>
      </c>
    </row>
    <row r="101" spans="11:11" x14ac:dyDescent="0.25">
      <c r="K101" s="1">
        <v>0.126</v>
      </c>
    </row>
    <row r="102" spans="11:11" x14ac:dyDescent="0.25">
      <c r="K102" s="1">
        <v>0.127</v>
      </c>
    </row>
    <row r="103" spans="11:11" x14ac:dyDescent="0.25">
      <c r="K103" s="1">
        <v>0.128</v>
      </c>
    </row>
    <row r="104" spans="11:11" x14ac:dyDescent="0.25">
      <c r="K104" s="1">
        <v>0.129</v>
      </c>
    </row>
    <row r="105" spans="11:11" x14ac:dyDescent="0.25">
      <c r="K105" s="1">
        <v>0.13</v>
      </c>
    </row>
    <row r="106" spans="11:11" x14ac:dyDescent="0.25">
      <c r="K106" s="1">
        <v>0.13100000000000001</v>
      </c>
    </row>
    <row r="107" spans="11:11" x14ac:dyDescent="0.25">
      <c r="K107" s="1">
        <v>0.13200000000000001</v>
      </c>
    </row>
    <row r="108" spans="11:11" x14ac:dyDescent="0.25">
      <c r="K108" s="1">
        <v>0.13300000000000001</v>
      </c>
    </row>
    <row r="109" spans="11:11" x14ac:dyDescent="0.25">
      <c r="K109" s="1">
        <v>0.13400000000000001</v>
      </c>
    </row>
    <row r="110" spans="11:11" x14ac:dyDescent="0.25">
      <c r="K110" s="1">
        <v>0.13500000000000001</v>
      </c>
    </row>
    <row r="111" spans="11:11" x14ac:dyDescent="0.25">
      <c r="K111" s="1">
        <v>0.13600000000000001</v>
      </c>
    </row>
    <row r="112" spans="11:11" x14ac:dyDescent="0.25">
      <c r="K112" s="1">
        <v>0.13700000000000001</v>
      </c>
    </row>
    <row r="113" spans="11:11" x14ac:dyDescent="0.25">
      <c r="K113" s="1">
        <v>0.13800000000000001</v>
      </c>
    </row>
    <row r="114" spans="11:11" x14ac:dyDescent="0.25">
      <c r="K114" s="1">
        <v>0.13900000000000001</v>
      </c>
    </row>
    <row r="115" spans="11:11" x14ac:dyDescent="0.25">
      <c r="K115" s="1">
        <v>0.14000000000000001</v>
      </c>
    </row>
    <row r="116" spans="11:11" x14ac:dyDescent="0.25">
      <c r="K116" s="1">
        <v>0.14099999999999999</v>
      </c>
    </row>
    <row r="117" spans="11:11" x14ac:dyDescent="0.25">
      <c r="K117" s="1">
        <v>0.14199999999999999</v>
      </c>
    </row>
    <row r="118" spans="11:11" x14ac:dyDescent="0.25">
      <c r="K118" s="1">
        <v>0.14299999999999999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Breakdown</vt:lpstr>
      <vt:lpstr>reference cells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Faulkner</dc:creator>
  <cp:lastModifiedBy>Cody Faulkner</cp:lastModifiedBy>
  <dcterms:created xsi:type="dcterms:W3CDTF">2019-06-04T20:50:59Z</dcterms:created>
  <dcterms:modified xsi:type="dcterms:W3CDTF">2019-06-04T22:25:18Z</dcterms:modified>
</cp:coreProperties>
</file>